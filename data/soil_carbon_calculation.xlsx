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Instructions" sheetId="1" state="visible" r:id="rId3"/>
    <sheet name="2. Core Log" sheetId="2" state="visible" r:id="rId4"/>
    <sheet name="3. Sample Data" sheetId="3" state="visible" r:id="rId5"/>
    <sheet name="4. Core Summary" sheetId="4" state="visible" r:id="rId6"/>
    <sheet name="5. R export (layers)" sheetId="5" state="visible" r:id="rId7"/>
    <sheet name="6. R export (plots)" sheetId="6" state="visible" r:id="rId8"/>
  </sheets>
  <definedNames>
    <definedName function="false" hidden="true" localSheetId="2" name="_xlnm._FilterDatabase" vbProcedure="false">'3. Sample Data'!$A$5:$Z$27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4" authorId="0">
      <text>
        <r>
          <rPr>
            <sz val="10"/>
            <rFont val="Arial"/>
            <family val="2"/>
          </rPr>
          <t xml:space="preserve">Sign corrected: community_soil_cores.csv supplies longitude as positive, but the Fort Severn AOI (data/aoi.geojson) is ~87.7 degrees WEST. Column E keeps the number exactly as supplied. Confirm with the field crew.</t>
        </r>
      </text>
    </comment>
    <comment ref="K4" authorId="0">
      <text>
        <r>
          <rPr>
            <sz val="10"/>
            <rFont val="Arial"/>
            <family val="2"/>
          </rPr>
          <t xml:space="preserve">Not supplied in community_soil_cores.csv. Fill in from field notes -- step 6's regional model can use it as a stratifying covariate.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The 'Depth' column of community_soil_cores.csv is the THICKNESS of each slice, not its bottom depth (PM-03-A reads 8.625, 8.75, 7.85, 5.5 -- decreasing, so it cannot be a running bottom depth). Columns H-I stack them from the surface.</t>
        </r>
      </text>
    </comment>
    <comment ref="G5" authorId="0">
      <text>
        <r>
          <rPr>
            <sz val="10"/>
            <rFont val="Arial"/>
            <family val="2"/>
          </rPr>
          <t xml:space="preserve">Not recorded in community_soil_cores.csv; entered as 0 (no coarse fragments), which is what the supplied carbon-density column also assumes. Change it here if the field notes say otherwise -- it feeds the stock of every row.</t>
        </r>
      </text>
    </comment>
    <comment ref="Y5" authorId="0">
      <text>
        <r>
          <rPr>
            <sz val="10"/>
            <rFont val="Arial"/>
            <family val="2"/>
          </rPr>
          <t xml:space="preserve">'Organic Carbon Density (g/cm^2)' in community_soil_cores.csv. The header unit is wrong: the value is bulk density x %C / 100, i.e. g C per cm3, and has NOT been multiplied by slice thickness. Column R is the true areal density.</t>
        </r>
      </text>
    </comment>
    <comment ref="Z28" authorId="0">
      <text>
        <r>
          <rPr>
            <sz val="10"/>
            <rFont val="Arial"/>
            <family val="2"/>
          </rPr>
          <t xml:space="preserve">Largest absolute disagreement between the carbon density recomputed on this sheet and the value supplied in community_soil_cores.csv, over all rows. Should be 0.</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M13" authorId="0">
      <text>
        <r>
          <rPr>
            <sz val="10"/>
            <rFont val="Arial"/>
            <family val="2"/>
          </rPr>
          <t xml:space="preserve">Mean across all 8 cores, including the partial-coverage ones. For the step-0 data inventory's 'ground cores' row, use the mean over full-coverage cores only.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Save this sheet as data/soil_cores_raw.csv -- the file scripts/run_02_harmonize_depths.R reads. Keep the header names exactly as they are: harmonize_core_depths() builds an aqp SoilProfileCollection with depths(df) &lt;- plot_id ~ depth_from + depth_to, and depthharm() is called with var.name = 'soc'. soc is in g/kg (= %C x 10). Rows must stay sorted by plot_id with no gaps or overlaps within a core.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'observed' is the 0-30 cm stock in kg C/m2. scripts/run_03_extract_covariates.R expects plot_id + observed on a point layer (data/field_plots.gpkg). Build it from this sheet with terra::vect(df, geom = c('longitude','latitude'), crs = 'EPSG:4326') and project to a metric CRS before use. Drop or downweight rows whose coverage_flag says PARTIAL, and keep the units consistent with the prior raster you fuse against.</t>
        </r>
      </text>
    </comment>
  </commentList>
</comments>
</file>

<file path=xl/sharedStrings.xml><?xml version="1.0" encoding="utf-8"?>
<sst xmlns="http://schemas.openxmlformats.org/spreadsheetml/2006/main" count="236" uniqueCount="184">
  <si>
    <t xml:space="preserve">Workshop — Community &amp; Regional Carbon Mapping · Ground-data sheet</t>
  </si>
  <si>
    <t xml:space="preserve">Companion to the Regional Map Updating Framework workshop (docs/workshop.html), Step 2 — Process and harmonize the ground data. Adapted from the WWF-Canada Blue Carbon Eelgrass workshop digital data sheet (Measuring Carbon in Coastal Sediments, 2026); see WHAT CHANGED below.</t>
  </si>
  <si>
    <t xml:space="preserve">WHAT THIS WORKBOOK IS FOR</t>
  </si>
  <si>
    <t xml:space="preserve">Deliverable 02 of the workshop's first deliverable list: raw measurements → carbon stock → depth harmonisation → the response variable, with every unit conversion visible. Do the arithmetic here first; the R code in R/step02_harmonize_depths.R has to reproduce these numbers before it is trusted.</t>
  </si>
  <si>
    <t xml:space="preserve">HOW TO USE THIS WORKBOOK</t>
  </si>
  <si>
    <t xml:space="preserve">Sheet 2 — Core Log</t>
  </si>
  <si>
    <t xml:space="preserve">One row per CORE. Enter the core's position, an optional compaction factor, and landform/cover notes. Slice count, recovered length and in-situ depth calculate themselves from sheet 3.</t>
  </si>
  <si>
    <t xml:space="preserve">Sheet 3 — Sample Data</t>
  </si>
  <si>
    <t xml:space="preserve">One row per SLICE. Enter the field columns before you leave site, then add the lab columns when results come back. Everything else calculates.</t>
  </si>
  <si>
    <t xml:space="preserve">Sheet 4 — Core Summary</t>
  </si>
  <si>
    <t xml:space="preserve">Per-core totals and the depth-harmonised stocks. Fully automatic — nothing to type here.</t>
  </si>
  <si>
    <t xml:space="preserve">Sheet 5 — R export (layers)</t>
  </si>
  <si>
    <t xml:space="preserve">The flat table scripts/run_02_harmonize_depths.R reads. Save as CSV to data/soil_cores_raw.csv — column names must stay exactly as they are.</t>
  </si>
  <si>
    <t xml:space="preserve">Sheet 6 — R export (plots)</t>
  </si>
  <si>
    <t xml:space="preserve">One row per core, carrying plot_id + observed, for scripts/run_03_extract_covariates.R. Save as CSV, or build the point layer data/field_plots.gpkg from it.</t>
  </si>
  <si>
    <t xml:space="preserve">COLOUR KEY</t>
  </si>
  <si>
    <t xml:space="preserve">Yellow fill / blue text</t>
  </si>
  <si>
    <t xml:space="preserve">Data you type — from the field or from the lab report.</t>
  </si>
  <si>
    <t xml:space="preserve">Grey fill / black text</t>
  </si>
  <si>
    <t xml:space="preserve">Calculated. Do not type over these — you will break the column.</t>
  </si>
  <si>
    <t xml:space="preserve">Green text</t>
  </si>
  <si>
    <t xml:space="preserve">Pulled from another sheet in this workbook.</t>
  </si>
  <si>
    <t xml:space="preserve">There is no worked-example row: sheet 3 is populated with the project's real cores, so the data itself is the example.</t>
  </si>
  <si>
    <t xml:space="preserve">THE FIVE BANDS ON SHEET 3</t>
  </si>
  <si>
    <t xml:space="preserve">1. Data from the field</t>
  </si>
  <si>
    <t xml:space="preserve">Year, core and sample id, position, measured slice thickness, coarse-fragment fraction. Copy directly from the field data sheet.</t>
  </si>
  <si>
    <t xml:space="preserve">2. Calculated before the lab</t>
  </si>
  <si>
    <t xml:space="preserve">Slices stacked from the surface into depth-from / depth-to, then corrected to in-situ depths using the core's compaction factor.</t>
  </si>
  <si>
    <t xml:space="preserve">3. Measured by the lab</t>
  </si>
  <si>
    <t xml:space="preserve">Dry bulk density, organic matter by loss-on-ignition, and organic carbon.</t>
  </si>
  <si>
    <t xml:space="preserve">4. Calculated after the lab</t>
  </si>
  <si>
    <t xml:space="preserve">Carbon density and the carbon stock of each slice, in three units.</t>
  </si>
  <si>
    <t xml:space="preserve">5. Harmonised to target depths</t>
  </si>
  <si>
    <t xml:space="preserve">Each slice's contribution to the workshop's target intervals 0–15, 15–30, 30–50, 50–100 cm, split by how much of the target each slice covers — the overlap-weighting in Step 2b of the workshop.</t>
  </si>
  <si>
    <t xml:space="preserve">Cross-check (cols Y–Z)</t>
  </si>
  <si>
    <t xml:space="preserve">The carbon density recomputed here, minus the value supplied in community_soil_cores.csv. Should be 0.000000 on every row.</t>
  </si>
  <si>
    <t xml:space="preserve">THE THREE EQUATIONS</t>
  </si>
  <si>
    <t xml:space="preserve">Carbon density (g C/cm³)</t>
  </si>
  <si>
    <t xml:space="preserve">bulk density (g/cm³) × organic carbon (%) / 100 × (1 − coarse-fragment fraction)</t>
  </si>
  <si>
    <t xml:space="preserve">Slice stock (g C/cm²)</t>
  </si>
  <si>
    <t xml:space="preserve">carbon density (g C/cm³) × measured slice thickness (cm)</t>
  </si>
  <si>
    <t xml:space="preserve">Unit conversions</t>
  </si>
  <si>
    <t xml:space="preserve">1 g C/cm² = 10 kg C/m² = 100 Mg C/ha</t>
  </si>
  <si>
    <t xml:space="preserve">Harmonised stock</t>
  </si>
  <si>
    <t xml:space="preserve">carbon density × (overlap of the slice with the target interval, cm) × 10, summed over the core</t>
  </si>
  <si>
    <t xml:space="preserve">UNITS</t>
  </si>
  <si>
    <t xml:space="preserve">Depths / thickness</t>
  </si>
  <si>
    <t xml:space="preserve">centimetres (cm)</t>
  </si>
  <si>
    <t xml:space="preserve">Dry bulk density</t>
  </si>
  <si>
    <t xml:space="preserve">g/cm³</t>
  </si>
  <si>
    <t xml:space="preserve">Organic matter, organic carbon</t>
  </si>
  <si>
    <t xml:space="preserve">percent (0–100). Some labs return a decimal fraction (0–1) — check before entering.</t>
  </si>
  <si>
    <t xml:space="preserve">soc on sheet 5</t>
  </si>
  <si>
    <t xml:space="preserve">g/kg, which is simply %C × 10 — the unit soilassessment::depthharm() is given.</t>
  </si>
  <si>
    <t xml:space="preserve">Carbon stock</t>
  </si>
  <si>
    <t xml:space="preserve">reported per slice as g C/cm², kg C/m² and Mg C/ha. The prior maps in CarbonResources_Assets+Covariates are in kg C/m²; the workshop text uses Mg C/ha.</t>
  </si>
  <si>
    <t xml:space="preserve">WHAT CHANGED FROM THE EELGRASS VERSION</t>
  </si>
  <si>
    <t xml:space="preserve">Compaction</t>
  </si>
  <si>
    <t xml:space="preserve">Reduced from a computed block (corer diameter + two insertion depths) to ONE optional factor per core on sheet 2, because the community dataset arrives with bulk density already computed and no insertion depths recorded. Blank = 1.00 = no correction. The rule is unchanged: compaction corrects DEPTHS, not stocks — the dry mass in the tube already came from a taller in-situ column, so applying the factor to the stock as well double-counts it.</t>
  </si>
  <si>
    <t xml:space="preserve">Corer diameter, wet/dry weights, sample volume</t>
  </si>
  <si>
    <t xml:space="preserve">Removed. Those columns existed to derive bulk density; here the lab reports it directly. Put them back if you start coring for bulk density yourself — and measure the corer's INTERNAL diameter with calipers, because volume sits in the denominator of bulk density and an assumed diameter biases every stock.</t>
  </si>
  <si>
    <t xml:space="preserve">Depth harmonisation</t>
  </si>
  <si>
    <t xml:space="preserve">New band 5. The eelgrass sheet stopped at per-slice stocks; this workflow needs stocks on the workshop's fixed target intervals so cores with different slicing are comparable and can be joined to raster priors.</t>
  </si>
  <si>
    <t xml:space="preserve">Units</t>
  </si>
  <si>
    <t xml:space="preserve">Stocks now also in kg C/m² and Mg C/ha, the units the prior maps and the workshop use.</t>
  </si>
  <si>
    <t xml:space="preserve">R export sheets</t>
  </si>
  <si>
    <t xml:space="preserve">New sheets 5 and 6, shaped to the column names scripts/run_02 and scripts/run_03 expect.</t>
  </si>
  <si>
    <t xml:space="preserve">WHAT CAUGHT US OUT IN THIS DATASET</t>
  </si>
  <si>
    <t xml:space="preserve">Longitudes are missing their sign</t>
  </si>
  <si>
    <t xml:space="preserve">community_soil_cores.csv gives longitude as +87.6 to +87.9. Fort Severn is ~87.7° WEST, and data/aoi.geojson is all negative. Sheet 2 column D carries the corrected (negative) value; column E keeps the number exactly as supplied. Confirm with whoever collected the GPS before this propagates into a map.</t>
  </si>
  <si>
    <t xml:space="preserve">'Organic Carbon Density (g/cm^2)' is mislabelled</t>
  </si>
  <si>
    <t xml:space="preserve">The supplied column equals bulk density × %C / 100, which is g C per cm³ — a volumetric density, not an areal one. It has not been multiplied by slice thickness. Sheet 3 recomputes it as column Q (g C/cm³) and only becomes an areal density in column R, after multiplying by thickness. Columns Y–Z cross-check the two and agree to 1e-9 on all 22 rows.</t>
  </si>
  <si>
    <t xml:space="preserve">'Depth' is slice thickness, not depth-to-bottom</t>
  </si>
  <si>
    <t xml:space="preserve">PM-03-A reads 8.625, 8.75, 7.85, 5.5 — decreasing, so it cannot be a running bottom depth. Sheet 3 stacks the slices from the surface (columns H–I) to get the actual depth intervals.</t>
  </si>
  <si>
    <t xml:space="preserve">Nothing reaches 50 cm</t>
  </si>
  <si>
    <t xml:space="preserve">The deepest core, PM-03-A, bottoms out at 30.7 cm. Targets 30–50 and 50–100 cm have no core material, and sheet 4 says so rather than reporting 0.</t>
  </si>
  <si>
    <t xml:space="preserve">PM-01-A is a single 14.5 cm slice</t>
  </si>
  <si>
    <t xml:space="preserve">Its '0–30 cm' stock covers less than half the interval. Sheet 4 flags it. Do not put a partial-coverage core into the model as if it were a full 0–30 cm observation.</t>
  </si>
  <si>
    <t xml:space="preserve">Bulk densities near 2.2 g/cm³</t>
  </si>
  <si>
    <t xml:space="preserve">FS-03, FS-04 and FS-05 include dry bulk densities of 2.0–2.2 g/cm³. That is at or past the plausible limit for unconsolidated soil (quartz particle density is ~2.65, so 2.18 implies ~18% porosity). Worth re-checking the volume basis with the lab before these rows drive a regional model.</t>
  </si>
  <si>
    <t xml:space="preserve">%C is derived from LOI, not measured</t>
  </si>
  <si>
    <t xml:space="preserve">%C / OM = 0.58 on every row — the van Bemmelen factor, not an independent measurement. Sheet 3 uses measured %C where column O is filled and falls back to OM × the factor in cell C2 otherwise. Change C2 if your lab uses a different conversion.</t>
  </si>
  <si>
    <t xml:space="preserve">Depth basis vs. the prior</t>
  </si>
  <si>
    <t xml:space="preserve">The primary prior (Li et al. 2025, 30 m) is FULL PEAT COLUMN carbon — a regional mean of 86 ± 35 kg C/m² over ~184 cm of peat. These cores are 0–30 cm. The two differ by more than an order of magnitude in this landscape and must not be compared without an explicit shallow-fraction assumption. Same warning is already written into data/CarbonResources_Assets+Covariates.</t>
  </si>
  <si>
    <t xml:space="preserve">Sheet 2 — Core Log  (one row per CORE)</t>
  </si>
  <si>
    <t xml:space="preserve">Compaction factor = in-situ core length ÷ recovered length. Leave blank if you did not measure it — blank is treated as 1.00 (no correction). It corrects DEPTHS only, never stocks.</t>
  </si>
  <si>
    <t xml:space="preserve">Core Id</t>
  </si>
  <si>
    <t xml:space="preserve">Year</t>
  </si>
  <si>
    <t xml:space="preserve">Latitude (°N)</t>
  </si>
  <si>
    <t xml:space="preserve">Longitude (°E, corrected)</t>
  </si>
  <si>
    <t xml:space="preserve">Longitude as supplied</t>
  </si>
  <si>
    <t xml:space="preserve">Compaction factor (optional)</t>
  </si>
  <si>
    <t xml:space="preserve">Compaction factor used</t>
  </si>
  <si>
    <t xml:space="preserve">Slices recorded</t>
  </si>
  <si>
    <t xml:space="preserve">Recovered core length (cm)</t>
  </si>
  <si>
    <t xml:space="preserve">In-situ core depth (cm)</t>
  </si>
  <si>
    <t xml:space="preserve">Landform / cover</t>
  </si>
  <si>
    <t xml:space="preserve">Notes</t>
  </si>
  <si>
    <t xml:space="preserve">PM-01-A</t>
  </si>
  <si>
    <t xml:space="preserve">PM-02-A</t>
  </si>
  <si>
    <t xml:space="preserve">PM-03-A</t>
  </si>
  <si>
    <t xml:space="preserve">FS-05</t>
  </si>
  <si>
    <t xml:space="preserve">FS-04</t>
  </si>
  <si>
    <t xml:space="preserve">FS-03</t>
  </si>
  <si>
    <t xml:space="preserve">FS-02</t>
  </si>
  <si>
    <t xml:space="preserve">FS-01</t>
  </si>
  <si>
    <t xml:space="preserve">Sheet 3 — Sample Data  (one row per SLICE)</t>
  </si>
  <si>
    <t xml:space="preserve">Organic matter → organic carbon factor:</t>
  </si>
  <si>
    <t xml:space="preserve">van Bemmelen. Used only where 'Organic carbon, measured (%C)' (column O) is blank. In this dataset %C / OM = 0.58 on every row, so the supplied %C is itself LOI-derived, not an independent measurement.</t>
  </si>
  <si>
    <t xml:space="preserve">Target depth intervals are the workshop's: 0–15, 15–30, 30–50, 50–100 cm. Changing them means editing the four formulas in columns U–X.</t>
  </si>
  <si>
    <t xml:space="preserve">5. Harmonised to target depths (kg C/m²)</t>
  </si>
  <si>
    <t xml:space="preserve">Cross-check vs. source file</t>
  </si>
  <si>
    <t xml:space="preserve">Sample Id</t>
  </si>
  <si>
    <t xml:space="preserve">Measured slice thickness (cm)</t>
  </si>
  <si>
    <t xml:space="preserve">Coarse-fragment fraction (0–1)</t>
  </si>
  <si>
    <t xml:space="preserve">Depth from, measured (cm)</t>
  </si>
  <si>
    <t xml:space="preserve">Depth to, measured (cm)</t>
  </si>
  <si>
    <t xml:space="preserve">Compaction factor</t>
  </si>
  <si>
    <t xml:space="preserve">In-situ depth from (cm)</t>
  </si>
  <si>
    <t xml:space="preserve">In-situ depth to (cm)</t>
  </si>
  <si>
    <t xml:space="preserve">Dry bulk density (g/cm³)</t>
  </si>
  <si>
    <t xml:space="preserve">Organic matter, LOI (%)</t>
  </si>
  <si>
    <t xml:space="preserve">Organic carbon, measured (%C)</t>
  </si>
  <si>
    <t xml:space="preserve">Organic carbon used (%C)</t>
  </si>
  <si>
    <t xml:space="preserve">Slice stock (kg C/m²)</t>
  </si>
  <si>
    <t xml:space="preserve">Slice stock (Mg C/ha)</t>
  </si>
  <si>
    <t xml:space="preserve">→ 0–15 cm</t>
  </si>
  <si>
    <t xml:space="preserve">→ 15–30 cm</t>
  </si>
  <si>
    <t xml:space="preserve">→ 30–50 cm</t>
  </si>
  <si>
    <t xml:space="preserve">→ 50–100 cm</t>
  </si>
  <si>
    <t xml:space="preserve">C density as supplied (g/cm³)</t>
  </si>
  <si>
    <t xml:space="preserve">Check: this sheet − supplied</t>
  </si>
  <si>
    <t xml:space="preserve">PM-02-A-1</t>
  </si>
  <si>
    <t xml:space="preserve">PM-02-A-2</t>
  </si>
  <si>
    <t xml:space="preserve">PM-03-A-1</t>
  </si>
  <si>
    <t xml:space="preserve">PM-03-A-2</t>
  </si>
  <si>
    <t xml:space="preserve">PM-03-A-3</t>
  </si>
  <si>
    <t xml:space="preserve">PM-03-A-4</t>
  </si>
  <si>
    <t xml:space="preserve">FS-05-1</t>
  </si>
  <si>
    <t xml:space="preserve">FS-05-2</t>
  </si>
  <si>
    <t xml:space="preserve">FS-05-3</t>
  </si>
  <si>
    <t xml:space="preserve">FS-04-1</t>
  </si>
  <si>
    <t xml:space="preserve">FS-04-2</t>
  </si>
  <si>
    <t xml:space="preserve">FS-04-3</t>
  </si>
  <si>
    <t xml:space="preserve">FS-03-1</t>
  </si>
  <si>
    <t xml:space="preserve">FS-03-2</t>
  </si>
  <si>
    <t xml:space="preserve">FS-03-3</t>
  </si>
  <si>
    <t xml:space="preserve">FS-02-1</t>
  </si>
  <si>
    <t xml:space="preserve">FS-02-2</t>
  </si>
  <si>
    <t xml:space="preserve">FS-02-3</t>
  </si>
  <si>
    <t xml:space="preserve">FS-01-1</t>
  </si>
  <si>
    <t xml:space="preserve">FS-01-2</t>
  </si>
  <si>
    <t xml:space="preserve">FS-01-3</t>
  </si>
  <si>
    <t xml:space="preserve">Total / max |check|</t>
  </si>
  <si>
    <t xml:space="preserve">Column-U–X totals are the whole-dataset stock in each target interval, not a per-core value — see sheet 4 for per-core numbers.</t>
  </si>
  <si>
    <t xml:space="preserve">Sheet 4 — Core Summary  (fully automatic — nothing to type here)</t>
  </si>
  <si>
    <t xml:space="preserve">A target interval with no core material reports 'no core material', not 0. 0–30 cm is the response variable step 3 extracts covariates against — use only rows flagged 'full 0–30 cm coverage'.</t>
  </si>
  <si>
    <t xml:space="preserve">Longitude (°E)</t>
  </si>
  <si>
    <t xml:space="preserve">Slices</t>
  </si>
  <si>
    <t xml:space="preserve">Whole-core stock (kg C/m²)</t>
  </si>
  <si>
    <t xml:space="preserve">Whole-core stock (Mg C/ha)</t>
  </si>
  <si>
    <t xml:space="preserve">0–15 cm (kg C/m²)</t>
  </si>
  <si>
    <t xml:space="preserve">15–30 cm (kg C/m²)</t>
  </si>
  <si>
    <t xml:space="preserve">30–50 cm (kg C/m²)</t>
  </si>
  <si>
    <t xml:space="preserve">50–100 cm (kg C/m²)</t>
  </si>
  <si>
    <t xml:space="preserve">0–30 cm (kg C/m²)</t>
  </si>
  <si>
    <t xml:space="preserve">0–30 cm (Mg C/ha)</t>
  </si>
  <si>
    <t xml:space="preserve">Depth coverage flag</t>
  </si>
  <si>
    <t xml:space="preserve">All cores</t>
  </si>
  <si>
    <t xml:space="preserve">mean 0–30 cm stock over all cores, partial cores included</t>
  </si>
  <si>
    <t xml:space="preserve">plot_id</t>
  </si>
  <si>
    <t xml:space="preserve">depth_from</t>
  </si>
  <si>
    <t xml:space="preserve">depth_to</t>
  </si>
  <si>
    <t xml:space="preserve">soc</t>
  </si>
  <si>
    <t xml:space="preserve">bulk_density</t>
  </si>
  <si>
    <t xml:space="preserve">coarse_frag</t>
  </si>
  <si>
    <t xml:space="preserve">longitude</t>
  </si>
  <si>
    <t xml:space="preserve">latitude</t>
  </si>
  <si>
    <t xml:space="preserve">observed</t>
  </si>
  <si>
    <t xml:space="preserve">observed_units</t>
  </si>
  <si>
    <t xml:space="preserve">depth_basis</t>
  </si>
  <si>
    <t xml:space="preserve">coverage_flag</t>
  </si>
  <si>
    <t xml:space="preserve">kg C/m2</t>
  </si>
  <si>
    <t xml:space="preserve">0-30 cm</t>
  </si>
</sst>
</file>

<file path=xl/styles.xml><?xml version="1.0" encoding="utf-8"?>
<styleSheet xmlns="http://schemas.openxmlformats.org/spreadsheetml/2006/main">
  <numFmts count="8">
    <numFmt numFmtId="164" formatCode="General"/>
    <numFmt numFmtId="165" formatCode="0"/>
    <numFmt numFmtId="166" formatCode="0.000000"/>
    <numFmt numFmtId="167" formatCode="0.000"/>
    <numFmt numFmtId="168" formatCode="0.00"/>
    <numFmt numFmtId="169" formatCode="0.0000"/>
    <numFmt numFmtId="170" formatCode="0.000000000"/>
    <numFmt numFmtId="171" formatCode="0.0"/>
  </numFmts>
  <fonts count="18">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sz val="10"/>
      <name val="Arial"/>
      <family val="0"/>
      <charset val="1"/>
    </font>
    <font>
      <b val="true"/>
      <sz val="10"/>
      <color rgb="FF1F3864"/>
      <name val="Arial"/>
      <family val="0"/>
      <charset val="1"/>
    </font>
    <font>
      <b val="true"/>
      <sz val="10"/>
      <color rgb="FF1F4E79"/>
      <name val="Arial"/>
      <family val="0"/>
      <charset val="1"/>
    </font>
    <font>
      <b val="true"/>
      <sz val="10"/>
      <color rgb="FF000000"/>
      <name val="Arial"/>
      <family val="0"/>
      <charset val="1"/>
    </font>
    <font>
      <b val="true"/>
      <sz val="10"/>
      <color rgb="FF006100"/>
      <name val="Arial"/>
      <family val="0"/>
      <charset val="1"/>
    </font>
    <font>
      <i val="true"/>
      <sz val="9"/>
      <color rgb="FF595959"/>
      <name val="Arial"/>
      <family val="0"/>
      <charset val="1"/>
    </font>
    <font>
      <b val="true"/>
      <sz val="12"/>
      <color rgb="FF1F3864"/>
      <name val="Arial"/>
      <family val="0"/>
      <charset val="1"/>
    </font>
    <font>
      <b val="true"/>
      <sz val="9"/>
      <color rgb="FF000000"/>
      <name val="Arial"/>
      <family val="0"/>
      <charset val="1"/>
    </font>
    <font>
      <sz val="10"/>
      <color rgb="FF1F4E79"/>
      <name val="Arial"/>
      <family val="0"/>
      <charset val="1"/>
    </font>
    <font>
      <sz val="10"/>
      <color rgb="FF000000"/>
      <name val="Arial"/>
      <family val="0"/>
      <charset val="1"/>
    </font>
    <font>
      <sz val="10"/>
      <color rgb="FF006100"/>
      <name val="Arial"/>
      <family val="0"/>
      <charset val="1"/>
    </font>
    <font>
      <sz val="10"/>
      <name val="Arial"/>
      <family val="2"/>
    </font>
    <font>
      <b val="true"/>
      <sz val="9"/>
      <color rgb="FF1F3864"/>
      <name val="Arial"/>
      <family val="0"/>
      <charset val="1"/>
    </font>
  </fonts>
  <fills count="6">
    <fill>
      <patternFill patternType="none"/>
    </fill>
    <fill>
      <patternFill patternType="gray125"/>
    </fill>
    <fill>
      <patternFill patternType="solid">
        <fgColor rgb="FF1F3864"/>
        <bgColor rgb="FF1F4E79"/>
      </patternFill>
    </fill>
    <fill>
      <patternFill patternType="solid">
        <fgColor rgb="FFFFF2CC"/>
        <bgColor rgb="FFEDEDED"/>
      </patternFill>
    </fill>
    <fill>
      <patternFill patternType="solid">
        <fgColor rgb="FFEDEDED"/>
        <bgColor rgb="FFFFF2CC"/>
      </patternFill>
    </fill>
    <fill>
      <patternFill patternType="solid">
        <fgColor rgb="FFD9D9D9"/>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7" fontId="14"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8" fontId="14"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9" fontId="13" fillId="3" borderId="1" xfId="0" applyFont="true" applyBorder="true" applyAlignment="false" applyProtection="false">
      <alignment horizontal="general" vertical="bottom" textRotation="0" wrapText="false" indent="0" shrinkToFit="false"/>
      <protection locked="true" hidden="false"/>
    </xf>
    <xf numFmtId="166" fontId="14" fillId="4" borderId="1" xfId="0" applyFont="true" applyBorder="true" applyAlignment="false" applyProtection="false">
      <alignment horizontal="general" vertical="bottom" textRotation="0" wrapText="false" indent="0" shrinkToFit="false"/>
      <protection locked="true" hidden="false"/>
    </xf>
    <xf numFmtId="169" fontId="14" fillId="4" borderId="1" xfId="0" applyFont="true" applyBorder="true" applyAlignment="false" applyProtection="false">
      <alignment horizontal="general" vertical="bottom" textRotation="0" wrapText="false" indent="0" shrinkToFit="false"/>
      <protection locked="true" hidden="false"/>
    </xf>
    <xf numFmtId="170" fontId="14" fillId="4"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70" fontId="12" fillId="5"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71" fontId="15" fillId="4" borderId="1" xfId="0" applyFont="true" applyBorder="true" applyAlignment="false" applyProtection="false">
      <alignment horizontal="general" vertical="bottom" textRotation="0" wrapText="false" indent="0" shrinkToFit="false"/>
      <protection locked="true" hidden="false"/>
    </xf>
    <xf numFmtId="169" fontId="15"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D9D9"/>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EDEDED"/>
          <bgColor rgb="FF000000"/>
        </patternFill>
      </fill>
    </dxf>
    <dxf>
      <fill>
        <patternFill patternType="solid">
          <fgColor rgb="FF0061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96"/>
  </cols>
  <sheetData>
    <row r="1" customFormat="false" ht="21.75" hidden="false" customHeight="true" outlineLevel="0" collapsed="false">
      <c r="A1" s="1" t="s">
        <v>0</v>
      </c>
      <c r="B1" s="2"/>
    </row>
    <row r="2" customFormat="false" ht="35.05" hidden="false" customHeight="false" outlineLevel="0" collapsed="false">
      <c r="A2" s="3"/>
      <c r="B2" s="3" t="s">
        <v>1</v>
      </c>
    </row>
    <row r="4" customFormat="false" ht="15" hidden="false" customHeight="false" outlineLevel="0" collapsed="false">
      <c r="A4" s="4" t="s">
        <v>2</v>
      </c>
    </row>
    <row r="5" customFormat="false" ht="23.85" hidden="false" customHeight="false" outlineLevel="0" collapsed="false">
      <c r="A5" s="3"/>
      <c r="B5" s="3" t="s">
        <v>3</v>
      </c>
    </row>
    <row r="7" customFormat="false" ht="15" hidden="false" customHeight="false" outlineLevel="0" collapsed="false">
      <c r="A7" s="4" t="s">
        <v>4</v>
      </c>
    </row>
    <row r="8" customFormat="false" ht="23.85" hidden="false" customHeight="false" outlineLevel="0" collapsed="false">
      <c r="A8" s="3" t="s">
        <v>5</v>
      </c>
      <c r="B8" s="3" t="s">
        <v>6</v>
      </c>
    </row>
    <row r="9" customFormat="false" ht="15" hidden="false" customHeight="false" outlineLevel="0" collapsed="false">
      <c r="A9" s="3" t="s">
        <v>7</v>
      </c>
      <c r="B9" s="3" t="s">
        <v>8</v>
      </c>
    </row>
    <row r="10" customFormat="false" ht="15" hidden="false" customHeight="false" outlineLevel="0" collapsed="false">
      <c r="A10" s="3" t="s">
        <v>9</v>
      </c>
      <c r="B10" s="3" t="s">
        <v>10</v>
      </c>
    </row>
    <row r="11" customFormat="false" ht="15" hidden="false" customHeight="false" outlineLevel="0" collapsed="false">
      <c r="A11" s="3" t="s">
        <v>11</v>
      </c>
      <c r="B11" s="3" t="s">
        <v>12</v>
      </c>
    </row>
    <row r="12" customFormat="false" ht="23.85" hidden="false" customHeight="false" outlineLevel="0" collapsed="false">
      <c r="A12" s="3" t="s">
        <v>13</v>
      </c>
      <c r="B12" s="3" t="s">
        <v>14</v>
      </c>
    </row>
    <row r="14" customFormat="false" ht="15" hidden="false" customHeight="false" outlineLevel="0" collapsed="false">
      <c r="A14" s="4" t="s">
        <v>15</v>
      </c>
    </row>
    <row r="15" customFormat="false" ht="15" hidden="false" customHeight="false" outlineLevel="0" collapsed="false">
      <c r="A15" s="5" t="s">
        <v>16</v>
      </c>
      <c r="B15" s="3" t="s">
        <v>17</v>
      </c>
    </row>
    <row r="16" customFormat="false" ht="15" hidden="false" customHeight="false" outlineLevel="0" collapsed="false">
      <c r="A16" s="6" t="s">
        <v>18</v>
      </c>
      <c r="B16" s="3" t="s">
        <v>19</v>
      </c>
    </row>
    <row r="17" customFormat="false" ht="15" hidden="false" customHeight="false" outlineLevel="0" collapsed="false">
      <c r="A17" s="7" t="s">
        <v>20</v>
      </c>
      <c r="B17" s="3" t="s">
        <v>21</v>
      </c>
    </row>
    <row r="18" customFormat="false" ht="15" hidden="false" customHeight="false" outlineLevel="0" collapsed="false">
      <c r="A18" s="8"/>
      <c r="B18" s="8" t="s">
        <v>22</v>
      </c>
    </row>
    <row r="20" customFormat="false" ht="15" hidden="false" customHeight="false" outlineLevel="0" collapsed="false">
      <c r="A20" s="4" t="s">
        <v>23</v>
      </c>
    </row>
    <row r="21" customFormat="false" ht="15" hidden="false" customHeight="false" outlineLevel="0" collapsed="false">
      <c r="A21" s="3" t="s">
        <v>24</v>
      </c>
      <c r="B21" s="3" t="s">
        <v>25</v>
      </c>
    </row>
    <row r="22" customFormat="false" ht="15" hidden="false" customHeight="false" outlineLevel="0" collapsed="false">
      <c r="A22" s="3" t="s">
        <v>26</v>
      </c>
      <c r="B22" s="3" t="s">
        <v>27</v>
      </c>
    </row>
    <row r="23" customFormat="false" ht="15" hidden="false" customHeight="false" outlineLevel="0" collapsed="false">
      <c r="A23" s="3" t="s">
        <v>28</v>
      </c>
      <c r="B23" s="3" t="s">
        <v>29</v>
      </c>
    </row>
    <row r="24" customFormat="false" ht="15" hidden="false" customHeight="false" outlineLevel="0" collapsed="false">
      <c r="A24" s="3" t="s">
        <v>30</v>
      </c>
      <c r="B24" s="3" t="s">
        <v>31</v>
      </c>
    </row>
    <row r="25" customFormat="false" ht="23.85" hidden="false" customHeight="false" outlineLevel="0" collapsed="false">
      <c r="A25" s="3" t="s">
        <v>32</v>
      </c>
      <c r="B25" s="3" t="s">
        <v>33</v>
      </c>
    </row>
    <row r="26" customFormat="false" ht="15" hidden="false" customHeight="false" outlineLevel="0" collapsed="false">
      <c r="A26" s="3" t="s">
        <v>34</v>
      </c>
      <c r="B26" s="3" t="s">
        <v>35</v>
      </c>
    </row>
    <row r="28" customFormat="false" ht="15" hidden="false" customHeight="false" outlineLevel="0" collapsed="false">
      <c r="A28" s="4" t="s">
        <v>36</v>
      </c>
    </row>
    <row r="29" customFormat="false" ht="15" hidden="false" customHeight="false" outlineLevel="0" collapsed="false">
      <c r="A29" s="3" t="s">
        <v>37</v>
      </c>
      <c r="B29" s="3" t="s">
        <v>38</v>
      </c>
    </row>
    <row r="30" customFormat="false" ht="15" hidden="false" customHeight="false" outlineLevel="0" collapsed="false">
      <c r="A30" s="3" t="s">
        <v>39</v>
      </c>
      <c r="B30" s="3" t="s">
        <v>40</v>
      </c>
    </row>
    <row r="31" customFormat="false" ht="15" hidden="false" customHeight="false" outlineLevel="0" collapsed="false">
      <c r="A31" s="3" t="s">
        <v>41</v>
      </c>
      <c r="B31" s="3" t="s">
        <v>42</v>
      </c>
    </row>
    <row r="32" customFormat="false" ht="15" hidden="false" customHeight="false" outlineLevel="0" collapsed="false">
      <c r="A32" s="3" t="s">
        <v>43</v>
      </c>
      <c r="B32" s="3" t="s">
        <v>44</v>
      </c>
    </row>
    <row r="34" customFormat="false" ht="15" hidden="false" customHeight="false" outlineLevel="0" collapsed="false">
      <c r="A34" s="4" t="s">
        <v>45</v>
      </c>
    </row>
    <row r="35" customFormat="false" ht="15" hidden="false" customHeight="false" outlineLevel="0" collapsed="false">
      <c r="A35" s="3" t="s">
        <v>46</v>
      </c>
      <c r="B35" s="3" t="s">
        <v>47</v>
      </c>
    </row>
    <row r="36" customFormat="false" ht="15" hidden="false" customHeight="false" outlineLevel="0" collapsed="false">
      <c r="A36" s="3" t="s">
        <v>48</v>
      </c>
      <c r="B36" s="3" t="s">
        <v>49</v>
      </c>
    </row>
    <row r="37" customFormat="false" ht="15" hidden="false" customHeight="false" outlineLevel="0" collapsed="false">
      <c r="A37" s="3" t="s">
        <v>50</v>
      </c>
      <c r="B37" s="3" t="s">
        <v>51</v>
      </c>
    </row>
    <row r="38" customFormat="false" ht="15" hidden="false" customHeight="false" outlineLevel="0" collapsed="false">
      <c r="A38" s="3" t="s">
        <v>52</v>
      </c>
      <c r="B38" s="3" t="s">
        <v>53</v>
      </c>
    </row>
    <row r="39" customFormat="false" ht="23.85" hidden="false" customHeight="false" outlineLevel="0" collapsed="false">
      <c r="A39" s="3" t="s">
        <v>54</v>
      </c>
      <c r="B39" s="3" t="s">
        <v>55</v>
      </c>
    </row>
    <row r="41" customFormat="false" ht="15" hidden="false" customHeight="false" outlineLevel="0" collapsed="false">
      <c r="A41" s="4" t="s">
        <v>56</v>
      </c>
    </row>
    <row r="42" customFormat="false" ht="46.25" hidden="false" customHeight="false" outlineLevel="0" collapsed="false">
      <c r="A42" s="3" t="s">
        <v>57</v>
      </c>
      <c r="B42" s="3" t="s">
        <v>58</v>
      </c>
    </row>
    <row r="43" customFormat="false" ht="35.05" hidden="false" customHeight="false" outlineLevel="0" collapsed="false">
      <c r="A43" s="3" t="s">
        <v>59</v>
      </c>
      <c r="B43" s="3" t="s">
        <v>60</v>
      </c>
    </row>
    <row r="44" customFormat="false" ht="23.85" hidden="false" customHeight="false" outlineLevel="0" collapsed="false">
      <c r="A44" s="3" t="s">
        <v>61</v>
      </c>
      <c r="B44" s="3" t="s">
        <v>62</v>
      </c>
    </row>
    <row r="45" customFormat="false" ht="15" hidden="false" customHeight="false" outlineLevel="0" collapsed="false">
      <c r="A45" s="3" t="s">
        <v>63</v>
      </c>
      <c r="B45" s="3" t="s">
        <v>64</v>
      </c>
    </row>
    <row r="46" customFormat="false" ht="15" hidden="false" customHeight="false" outlineLevel="0" collapsed="false">
      <c r="A46" s="3" t="s">
        <v>65</v>
      </c>
      <c r="B46" s="3" t="s">
        <v>66</v>
      </c>
    </row>
    <row r="48" customFormat="false" ht="15" hidden="false" customHeight="false" outlineLevel="0" collapsed="false">
      <c r="A48" s="4" t="s">
        <v>67</v>
      </c>
    </row>
    <row r="49" customFormat="false" ht="35.05" hidden="false" customHeight="false" outlineLevel="0" collapsed="false">
      <c r="A49" s="3" t="s">
        <v>68</v>
      </c>
      <c r="B49" s="3" t="s">
        <v>69</v>
      </c>
    </row>
    <row r="50" customFormat="false" ht="35.05" hidden="false" customHeight="false" outlineLevel="0" collapsed="false">
      <c r="A50" s="3" t="s">
        <v>70</v>
      </c>
      <c r="B50" s="3" t="s">
        <v>71</v>
      </c>
    </row>
    <row r="51" customFormat="false" ht="23.85" hidden="false" customHeight="false" outlineLevel="0" collapsed="false">
      <c r="A51" s="3" t="s">
        <v>72</v>
      </c>
      <c r="B51" s="3" t="s">
        <v>73</v>
      </c>
    </row>
    <row r="52" customFormat="false" ht="23.85" hidden="false" customHeight="false" outlineLevel="0" collapsed="false">
      <c r="A52" s="3" t="s">
        <v>74</v>
      </c>
      <c r="B52" s="3" t="s">
        <v>75</v>
      </c>
    </row>
    <row r="53" customFormat="false" ht="23.85" hidden="false" customHeight="false" outlineLevel="0" collapsed="false">
      <c r="A53" s="3" t="s">
        <v>76</v>
      </c>
      <c r="B53" s="3" t="s">
        <v>77</v>
      </c>
    </row>
    <row r="54" customFormat="false" ht="23.85" hidden="false" customHeight="false" outlineLevel="0" collapsed="false">
      <c r="A54" s="3" t="s">
        <v>78</v>
      </c>
      <c r="B54" s="3" t="s">
        <v>79</v>
      </c>
    </row>
    <row r="55" customFormat="false" ht="23.85" hidden="false" customHeight="false" outlineLevel="0" collapsed="false">
      <c r="A55" s="3" t="s">
        <v>80</v>
      </c>
      <c r="B55" s="3" t="s">
        <v>81</v>
      </c>
    </row>
    <row r="56" customFormat="false" ht="35.05" hidden="false" customHeight="false" outlineLevel="0" collapsed="false">
      <c r="A56" s="3" t="s">
        <v>82</v>
      </c>
      <c r="B56" s="3"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2"/>
    <col collapsed="false" customWidth="true" hidden="false" outlineLevel="0" max="5" min="4" style="0" width="15"/>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10" min="9" style="0" width="13"/>
    <col collapsed="false" customWidth="true" hidden="false" outlineLevel="0" max="11" min="11" style="0" width="22"/>
    <col collapsed="false" customWidth="true" hidden="false" outlineLevel="0" max="12" min="12" style="0" width="34"/>
  </cols>
  <sheetData>
    <row r="1" customFormat="false" ht="15" hidden="false" customHeight="false" outlineLevel="0" collapsed="false">
      <c r="A1" s="9" t="s">
        <v>84</v>
      </c>
    </row>
    <row r="2" customFormat="false" ht="15" hidden="false" customHeight="false" outlineLevel="0" collapsed="false">
      <c r="A2" s="10" t="s">
        <v>85</v>
      </c>
    </row>
    <row r="4" customFormat="false" ht="31.5" hidden="false" customHeight="true" outlineLevel="0" collapsed="false">
      <c r="A4" s="11" t="s">
        <v>86</v>
      </c>
      <c r="B4" s="11" t="s">
        <v>87</v>
      </c>
      <c r="C4" s="11" t="s">
        <v>88</v>
      </c>
      <c r="D4" s="11" t="s">
        <v>89</v>
      </c>
      <c r="E4" s="11" t="s">
        <v>90</v>
      </c>
      <c r="F4" s="11" t="s">
        <v>91</v>
      </c>
      <c r="G4" s="11" t="s">
        <v>92</v>
      </c>
      <c r="H4" s="11" t="s">
        <v>93</v>
      </c>
      <c r="I4" s="11" t="s">
        <v>94</v>
      </c>
      <c r="J4" s="11" t="s">
        <v>95</v>
      </c>
      <c r="K4" s="11" t="s">
        <v>96</v>
      </c>
      <c r="L4" s="11" t="s">
        <v>97</v>
      </c>
    </row>
    <row r="5" customFormat="false" ht="15" hidden="false" customHeight="false" outlineLevel="0" collapsed="false">
      <c r="A5" s="12" t="s">
        <v>98</v>
      </c>
      <c r="B5" s="13" t="n">
        <v>2024</v>
      </c>
      <c r="C5" s="14" t="n">
        <v>56.098575</v>
      </c>
      <c r="D5" s="14" t="n">
        <v>-87.67978</v>
      </c>
      <c r="E5" s="14" t="n">
        <v>87.67978</v>
      </c>
      <c r="F5" s="15"/>
      <c r="G5" s="16" t="n">
        <f aca="false">IF(F5="",1,F5)</f>
        <v>1</v>
      </c>
      <c r="H5" s="17" t="n">
        <f aca="false">COUNTIF('3. Sample Data'!$B$6:$B$27,A5)</f>
        <v>1</v>
      </c>
      <c r="I5" s="18" t="n">
        <f aca="false">SUMIF('3. Sample Data'!$B$6:$B$27,A5,'3. Sample Data'!$F$6:$F$27)</f>
        <v>14.5</v>
      </c>
      <c r="J5" s="19" t="n">
        <f aca="false">I5*G5</f>
        <v>14.5</v>
      </c>
      <c r="K5" s="12"/>
      <c r="L5" s="12"/>
    </row>
    <row r="6" customFormat="false" ht="15" hidden="false" customHeight="false" outlineLevel="0" collapsed="false">
      <c r="A6" s="12" t="s">
        <v>99</v>
      </c>
      <c r="B6" s="13" t="n">
        <v>2024</v>
      </c>
      <c r="C6" s="14" t="n">
        <v>56.0996361</v>
      </c>
      <c r="D6" s="14" t="n">
        <v>-87.65064</v>
      </c>
      <c r="E6" s="14" t="n">
        <v>87.65064</v>
      </c>
      <c r="F6" s="15"/>
      <c r="G6" s="16" t="n">
        <f aca="false">IF(F6="",1,F6)</f>
        <v>1</v>
      </c>
      <c r="H6" s="17" t="n">
        <f aca="false">COUNTIF('3. Sample Data'!$B$6:$B$27,A6)</f>
        <v>2</v>
      </c>
      <c r="I6" s="18" t="n">
        <f aca="false">SUMIF('3. Sample Data'!$B$6:$B$27,A6,'3. Sample Data'!$F$6:$F$27)</f>
        <v>20.7</v>
      </c>
      <c r="J6" s="19" t="n">
        <f aca="false">I6*G6</f>
        <v>20.7</v>
      </c>
      <c r="K6" s="12"/>
      <c r="L6" s="12"/>
    </row>
    <row r="7" customFormat="false" ht="15" hidden="false" customHeight="false" outlineLevel="0" collapsed="false">
      <c r="A7" s="12" t="s">
        <v>100</v>
      </c>
      <c r="B7" s="13" t="n">
        <v>2024</v>
      </c>
      <c r="C7" s="14" t="n">
        <v>56.1103556</v>
      </c>
      <c r="D7" s="14" t="n">
        <v>-87.67839</v>
      </c>
      <c r="E7" s="14" t="n">
        <v>87.67839</v>
      </c>
      <c r="F7" s="15"/>
      <c r="G7" s="16" t="n">
        <f aca="false">IF(F7="",1,F7)</f>
        <v>1</v>
      </c>
      <c r="H7" s="17" t="n">
        <f aca="false">COUNTIF('3. Sample Data'!$B$6:$B$27,A7)</f>
        <v>4</v>
      </c>
      <c r="I7" s="18" t="n">
        <f aca="false">SUMIF('3. Sample Data'!$B$6:$B$27,A7,'3. Sample Data'!$F$6:$F$27)</f>
        <v>30.725</v>
      </c>
      <c r="J7" s="19" t="n">
        <f aca="false">I7*G7</f>
        <v>30.725</v>
      </c>
      <c r="K7" s="12"/>
      <c r="L7" s="12"/>
    </row>
    <row r="8" customFormat="false" ht="15" hidden="false" customHeight="false" outlineLevel="0" collapsed="false">
      <c r="A8" s="12" t="s">
        <v>101</v>
      </c>
      <c r="B8" s="13" t="n">
        <v>2025</v>
      </c>
      <c r="C8" s="14" t="n">
        <v>56.079389</v>
      </c>
      <c r="D8" s="14" t="n">
        <v>-87.75622</v>
      </c>
      <c r="E8" s="14" t="n">
        <v>87.75622</v>
      </c>
      <c r="F8" s="15"/>
      <c r="G8" s="16" t="n">
        <f aca="false">IF(F8="",1,F8)</f>
        <v>1</v>
      </c>
      <c r="H8" s="17" t="n">
        <f aca="false">COUNTIF('3. Sample Data'!$B$6:$B$27,A8)</f>
        <v>3</v>
      </c>
      <c r="I8" s="18" t="n">
        <f aca="false">SUMIF('3. Sample Data'!$B$6:$B$27,A8,'3. Sample Data'!$F$6:$F$27)</f>
        <v>30</v>
      </c>
      <c r="J8" s="19" t="n">
        <f aca="false">I8*G8</f>
        <v>30</v>
      </c>
      <c r="K8" s="12"/>
      <c r="L8" s="12"/>
    </row>
    <row r="9" customFormat="false" ht="15" hidden="false" customHeight="false" outlineLevel="0" collapsed="false">
      <c r="A9" s="12" t="s">
        <v>102</v>
      </c>
      <c r="B9" s="13" t="n">
        <v>2025</v>
      </c>
      <c r="C9" s="14" t="n">
        <v>56.074278</v>
      </c>
      <c r="D9" s="14" t="n">
        <v>-87.79556</v>
      </c>
      <c r="E9" s="14" t="n">
        <v>87.79556</v>
      </c>
      <c r="F9" s="15"/>
      <c r="G9" s="16" t="n">
        <f aca="false">IF(F9="",1,F9)</f>
        <v>1</v>
      </c>
      <c r="H9" s="17" t="n">
        <f aca="false">COUNTIF('3. Sample Data'!$B$6:$B$27,A9)</f>
        <v>3</v>
      </c>
      <c r="I9" s="18" t="n">
        <f aca="false">SUMIF('3. Sample Data'!$B$6:$B$27,A9,'3. Sample Data'!$F$6:$F$27)</f>
        <v>30</v>
      </c>
      <c r="J9" s="19" t="n">
        <f aca="false">I9*G9</f>
        <v>30</v>
      </c>
      <c r="K9" s="12"/>
      <c r="L9" s="12"/>
    </row>
    <row r="10" customFormat="false" ht="15" hidden="false" customHeight="false" outlineLevel="0" collapsed="false">
      <c r="A10" s="12" t="s">
        <v>103</v>
      </c>
      <c r="B10" s="13" t="n">
        <v>2025</v>
      </c>
      <c r="C10" s="14" t="n">
        <v>56.128917</v>
      </c>
      <c r="D10" s="14" t="n">
        <v>-87.87181</v>
      </c>
      <c r="E10" s="14" t="n">
        <v>87.87181</v>
      </c>
      <c r="F10" s="15"/>
      <c r="G10" s="16" t="n">
        <f aca="false">IF(F10="",1,F10)</f>
        <v>1</v>
      </c>
      <c r="H10" s="17" t="n">
        <f aca="false">COUNTIF('3. Sample Data'!$B$6:$B$27,A10)</f>
        <v>3</v>
      </c>
      <c r="I10" s="18" t="n">
        <f aca="false">SUMIF('3. Sample Data'!$B$6:$B$27,A10,'3. Sample Data'!$F$6:$F$27)</f>
        <v>30</v>
      </c>
      <c r="J10" s="19" t="n">
        <f aca="false">I10*G10</f>
        <v>30</v>
      </c>
      <c r="K10" s="12"/>
      <c r="L10" s="12"/>
    </row>
    <row r="11" customFormat="false" ht="15" hidden="false" customHeight="false" outlineLevel="0" collapsed="false">
      <c r="A11" s="12" t="s">
        <v>104</v>
      </c>
      <c r="B11" s="13" t="n">
        <v>2025</v>
      </c>
      <c r="C11" s="14" t="n">
        <v>55.992611</v>
      </c>
      <c r="D11" s="14" t="n">
        <v>-87.62825</v>
      </c>
      <c r="E11" s="14" t="n">
        <v>87.62825</v>
      </c>
      <c r="F11" s="15"/>
      <c r="G11" s="16" t="n">
        <f aca="false">IF(F11="",1,F11)</f>
        <v>1</v>
      </c>
      <c r="H11" s="17" t="n">
        <f aca="false">COUNTIF('3. Sample Data'!$B$6:$B$27,A11)</f>
        <v>3</v>
      </c>
      <c r="I11" s="18" t="n">
        <f aca="false">SUMIF('3. Sample Data'!$B$6:$B$27,A11,'3. Sample Data'!$F$6:$F$27)</f>
        <v>30</v>
      </c>
      <c r="J11" s="19" t="n">
        <f aca="false">I11*G11</f>
        <v>30</v>
      </c>
      <c r="K11" s="12"/>
      <c r="L11" s="12"/>
    </row>
    <row r="12" customFormat="false" ht="15" hidden="false" customHeight="false" outlineLevel="0" collapsed="false">
      <c r="A12" s="12" t="s">
        <v>105</v>
      </c>
      <c r="B12" s="13" t="n">
        <v>2025</v>
      </c>
      <c r="C12" s="14" t="n">
        <v>55.965999</v>
      </c>
      <c r="D12" s="14" t="n">
        <v>-87.6282</v>
      </c>
      <c r="E12" s="14" t="n">
        <v>87.6282</v>
      </c>
      <c r="F12" s="15"/>
      <c r="G12" s="16" t="n">
        <f aca="false">IF(F12="",1,F12)</f>
        <v>1</v>
      </c>
      <c r="H12" s="17" t="n">
        <f aca="false">COUNTIF('3. Sample Data'!$B$6:$B$27,A12)</f>
        <v>3</v>
      </c>
      <c r="I12" s="18" t="n">
        <f aca="false">SUMIF('3. Sample Data'!$B$6:$B$27,A12,'3. Sample Data'!$F$6:$F$27)</f>
        <v>30</v>
      </c>
      <c r="J12" s="19" t="n">
        <f aca="false">I12*G12</f>
        <v>30</v>
      </c>
      <c r="K12" s="12"/>
      <c r="L1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3"/>
    <col collapsed="false" customWidth="true" hidden="false" outlineLevel="0" max="4" min="4" style="0" width="11"/>
    <col collapsed="false" customWidth="true" hidden="false" outlineLevel="0" max="5" min="5" style="0" width="13"/>
    <col collapsed="false" customWidth="true" hidden="false" outlineLevel="0" max="6" min="6" style="0" width="12"/>
    <col collapsed="false" customWidth="true" hidden="false" outlineLevel="0" max="9" min="7" style="0" width="11"/>
    <col collapsed="false" customWidth="true" hidden="false" outlineLevel="0" max="10" min="10" style="0" width="10"/>
    <col collapsed="false" customWidth="true" hidden="false" outlineLevel="0" max="12" min="11" style="0" width="11"/>
    <col collapsed="false" customWidth="true" hidden="false" outlineLevel="0" max="13" min="13" style="0" width="12"/>
    <col collapsed="false" customWidth="true" hidden="false" outlineLevel="0" max="14" min="14" style="0" width="11"/>
    <col collapsed="false" customWidth="true" hidden="false" outlineLevel="0" max="15" min="15" style="0" width="12"/>
    <col collapsed="false" customWidth="true" hidden="false" outlineLevel="0" max="16" min="16" style="0" width="11"/>
    <col collapsed="false" customWidth="true" hidden="false" outlineLevel="0" max="17" min="17" style="0" width="12"/>
    <col collapsed="false" customWidth="true" hidden="false" outlineLevel="0" max="20" min="18" style="0" width="11"/>
    <col collapsed="false" customWidth="true" hidden="false" outlineLevel="0" max="24" min="21" style="0" width="10"/>
    <col collapsed="false" customWidth="true" hidden="false" outlineLevel="0" max="26" min="25" style="0" width="12"/>
  </cols>
  <sheetData>
    <row r="1" customFormat="false" ht="15" hidden="false" customHeight="false" outlineLevel="0" collapsed="false">
      <c r="A1" s="9" t="s">
        <v>106</v>
      </c>
    </row>
    <row r="2" customFormat="false" ht="15" hidden="false" customHeight="false" outlineLevel="0" collapsed="false">
      <c r="A2" s="20" t="s">
        <v>107</v>
      </c>
      <c r="C2" s="21" t="n">
        <v>0.58</v>
      </c>
      <c r="D2" s="10" t="s">
        <v>108</v>
      </c>
    </row>
    <row r="3" customFormat="false" ht="15" hidden="false" customHeight="false" outlineLevel="0" collapsed="false">
      <c r="A3" s="10" t="s">
        <v>109</v>
      </c>
    </row>
    <row r="4" customFormat="false" ht="15" hidden="false" customHeight="true" outlineLevel="0" collapsed="false">
      <c r="A4" s="22" t="s">
        <v>24</v>
      </c>
      <c r="B4" s="22"/>
      <c r="C4" s="22"/>
      <c r="D4" s="22"/>
      <c r="E4" s="22"/>
      <c r="F4" s="22"/>
      <c r="G4" s="22"/>
      <c r="H4" s="22" t="s">
        <v>26</v>
      </c>
      <c r="I4" s="22"/>
      <c r="J4" s="22"/>
      <c r="K4" s="22"/>
      <c r="L4" s="22"/>
      <c r="M4" s="22" t="s">
        <v>28</v>
      </c>
      <c r="N4" s="22"/>
      <c r="O4" s="22"/>
      <c r="P4" s="22" t="s">
        <v>30</v>
      </c>
      <c r="Q4" s="22"/>
      <c r="R4" s="22"/>
      <c r="S4" s="22"/>
      <c r="T4" s="22"/>
      <c r="U4" s="22" t="s">
        <v>110</v>
      </c>
      <c r="V4" s="22"/>
      <c r="W4" s="22"/>
      <c r="X4" s="22"/>
      <c r="Y4" s="22" t="s">
        <v>111</v>
      </c>
      <c r="Z4" s="22"/>
    </row>
    <row r="5" customFormat="false" ht="45.75" hidden="false" customHeight="true" outlineLevel="0" collapsed="false">
      <c r="A5" s="11" t="s">
        <v>87</v>
      </c>
      <c r="B5" s="11" t="s">
        <v>86</v>
      </c>
      <c r="C5" s="11" t="s">
        <v>112</v>
      </c>
      <c r="D5" s="11" t="s">
        <v>88</v>
      </c>
      <c r="E5" s="11" t="s">
        <v>89</v>
      </c>
      <c r="F5" s="11" t="s">
        <v>113</v>
      </c>
      <c r="G5" s="11" t="s">
        <v>114</v>
      </c>
      <c r="H5" s="11" t="s">
        <v>115</v>
      </c>
      <c r="I5" s="11" t="s">
        <v>116</v>
      </c>
      <c r="J5" s="11" t="s">
        <v>117</v>
      </c>
      <c r="K5" s="11" t="s">
        <v>118</v>
      </c>
      <c r="L5" s="11" t="s">
        <v>119</v>
      </c>
      <c r="M5" s="11" t="s">
        <v>120</v>
      </c>
      <c r="N5" s="11" t="s">
        <v>121</v>
      </c>
      <c r="O5" s="11" t="s">
        <v>122</v>
      </c>
      <c r="P5" s="11" t="s">
        <v>123</v>
      </c>
      <c r="Q5" s="11" t="s">
        <v>37</v>
      </c>
      <c r="R5" s="11" t="s">
        <v>39</v>
      </c>
      <c r="S5" s="11" t="s">
        <v>124</v>
      </c>
      <c r="T5" s="11" t="s">
        <v>125</v>
      </c>
      <c r="U5" s="11" t="s">
        <v>126</v>
      </c>
      <c r="V5" s="11" t="s">
        <v>127</v>
      </c>
      <c r="W5" s="11" t="s">
        <v>128</v>
      </c>
      <c r="X5" s="11" t="s">
        <v>129</v>
      </c>
      <c r="Y5" s="11" t="s">
        <v>130</v>
      </c>
      <c r="Z5" s="11" t="s">
        <v>131</v>
      </c>
    </row>
    <row r="6" customFormat="false" ht="15" hidden="false" customHeight="false" outlineLevel="0" collapsed="false">
      <c r="A6" s="13" t="n">
        <v>2024</v>
      </c>
      <c r="B6" s="12" t="s">
        <v>98</v>
      </c>
      <c r="C6" s="12" t="s">
        <v>98</v>
      </c>
      <c r="D6" s="14" t="n">
        <v>56.098575</v>
      </c>
      <c r="E6" s="14" t="n">
        <v>-87.67978</v>
      </c>
      <c r="F6" s="15" t="n">
        <v>14.5</v>
      </c>
      <c r="G6" s="21" t="n">
        <v>0</v>
      </c>
      <c r="H6" s="19" t="n">
        <v>0</v>
      </c>
      <c r="I6" s="19" t="n">
        <f aca="false">H6+F6</f>
        <v>14.5</v>
      </c>
      <c r="J6" s="23" t="n">
        <f aca="false">IFERROR(INDEX('2. Core Log'!$G$5:$G$12,MATCH(B6,'2. Core Log'!$A$5:$A$12,0)),1)</f>
        <v>1</v>
      </c>
      <c r="K6" s="19" t="n">
        <f aca="false">H6*J6</f>
        <v>0</v>
      </c>
      <c r="L6" s="19" t="n">
        <f aca="false">I6*J6</f>
        <v>14.5</v>
      </c>
      <c r="M6" s="24" t="n">
        <v>0.0929</v>
      </c>
      <c r="N6" s="21" t="n">
        <v>39.1</v>
      </c>
      <c r="O6" s="21" t="n">
        <v>22.7</v>
      </c>
      <c r="P6" s="19" t="n">
        <f aca="false">IF(O6="",N6*$C$2,O6)</f>
        <v>22.7</v>
      </c>
      <c r="Q6" s="25" t="n">
        <f aca="false">M6*P6/100*(1-G6)</f>
        <v>0.0210883</v>
      </c>
      <c r="R6" s="26" t="n">
        <f aca="false">Q6*F6</f>
        <v>0.30578035</v>
      </c>
      <c r="S6" s="16" t="n">
        <f aca="false">R6*10</f>
        <v>3.0578035</v>
      </c>
      <c r="T6" s="19" t="n">
        <f aca="false">S6*10</f>
        <v>30.578035</v>
      </c>
      <c r="U6" s="16" t="n">
        <f aca="false">MAX(0,MIN($L6,15)-MAX($K6,0))*$Q6*10</f>
        <v>3.0578035</v>
      </c>
      <c r="V6" s="16" t="n">
        <f aca="false">MAX(0,MIN($L6,30)-MAX($K6,15))*$Q6*10</f>
        <v>0</v>
      </c>
      <c r="W6" s="16" t="n">
        <f aca="false">MAX(0,MIN($L6,50)-MAX($K6,30))*$Q6*10</f>
        <v>0</v>
      </c>
      <c r="X6" s="16" t="n">
        <f aca="false">MAX(0,MIN($L6,100)-MAX($K6,50))*$Q6*10</f>
        <v>0</v>
      </c>
      <c r="Y6" s="14" t="n">
        <v>0.0210883</v>
      </c>
      <c r="Z6" s="27" t="n">
        <f aca="false">Q6-Y6</f>
        <v>0</v>
      </c>
    </row>
    <row r="7" customFormat="false" ht="15" hidden="false" customHeight="false" outlineLevel="0" collapsed="false">
      <c r="A7" s="13" t="n">
        <v>2024</v>
      </c>
      <c r="B7" s="12" t="s">
        <v>99</v>
      </c>
      <c r="C7" s="12" t="s">
        <v>132</v>
      </c>
      <c r="D7" s="14" t="n">
        <v>56.0996361</v>
      </c>
      <c r="E7" s="14" t="n">
        <v>-87.65064</v>
      </c>
      <c r="F7" s="15" t="n">
        <v>15.2</v>
      </c>
      <c r="G7" s="21" t="n">
        <v>0</v>
      </c>
      <c r="H7" s="19" t="n">
        <v>0</v>
      </c>
      <c r="I7" s="19" t="n">
        <f aca="false">H7+F7</f>
        <v>15.2</v>
      </c>
      <c r="J7" s="23" t="n">
        <f aca="false">IFERROR(INDEX('2. Core Log'!$G$5:$G$12,MATCH(B7,'2. Core Log'!$A$5:$A$12,0)),1)</f>
        <v>1</v>
      </c>
      <c r="K7" s="19" t="n">
        <f aca="false">H7*J7</f>
        <v>0</v>
      </c>
      <c r="L7" s="19" t="n">
        <f aca="false">I7*J7</f>
        <v>15.2</v>
      </c>
      <c r="M7" s="24" t="n">
        <v>0.0827</v>
      </c>
      <c r="N7" s="21" t="n">
        <v>39.1</v>
      </c>
      <c r="O7" s="21" t="n">
        <v>22.7</v>
      </c>
      <c r="P7" s="19" t="n">
        <f aca="false">IF(O7="",N7*$C$2,O7)</f>
        <v>22.7</v>
      </c>
      <c r="Q7" s="25" t="n">
        <f aca="false">M7*P7/100*(1-G7)</f>
        <v>0.0187729</v>
      </c>
      <c r="R7" s="26" t="n">
        <f aca="false">Q7*F7</f>
        <v>0.28534808</v>
      </c>
      <c r="S7" s="16" t="n">
        <f aca="false">R7*10</f>
        <v>2.8534808</v>
      </c>
      <c r="T7" s="19" t="n">
        <f aca="false">S7*10</f>
        <v>28.534808</v>
      </c>
      <c r="U7" s="16" t="n">
        <f aca="false">MAX(0,MIN($L7,15)-MAX($K7,0))*$Q7*10</f>
        <v>2.815935</v>
      </c>
      <c r="V7" s="16" t="n">
        <f aca="false">MAX(0,MIN($L7,30)-MAX($K7,15))*$Q7*10</f>
        <v>0.0375457999999999</v>
      </c>
      <c r="W7" s="16" t="n">
        <f aca="false">MAX(0,MIN($L7,50)-MAX($K7,30))*$Q7*10</f>
        <v>0</v>
      </c>
      <c r="X7" s="16" t="n">
        <f aca="false">MAX(0,MIN($L7,100)-MAX($K7,50))*$Q7*10</f>
        <v>0</v>
      </c>
      <c r="Y7" s="14" t="n">
        <v>0.0187729</v>
      </c>
      <c r="Z7" s="27" t="n">
        <f aca="false">Q7-Y7</f>
        <v>0</v>
      </c>
    </row>
    <row r="8" customFormat="false" ht="15" hidden="false" customHeight="false" outlineLevel="0" collapsed="false">
      <c r="A8" s="13" t="n">
        <v>2024</v>
      </c>
      <c r="B8" s="12" t="s">
        <v>99</v>
      </c>
      <c r="C8" s="12" t="s">
        <v>133</v>
      </c>
      <c r="D8" s="14" t="n">
        <v>56.0996361</v>
      </c>
      <c r="E8" s="14" t="n">
        <v>-87.65064</v>
      </c>
      <c r="F8" s="15" t="n">
        <v>5.5</v>
      </c>
      <c r="G8" s="21" t="n">
        <v>0</v>
      </c>
      <c r="H8" s="19" t="n">
        <f aca="false">I7</f>
        <v>15.2</v>
      </c>
      <c r="I8" s="19" t="n">
        <f aca="false">H8+F8</f>
        <v>20.7</v>
      </c>
      <c r="J8" s="23" t="n">
        <f aca="false">IFERROR(INDEX('2. Core Log'!$G$5:$G$12,MATCH(B8,'2. Core Log'!$A$5:$A$12,0)),1)</f>
        <v>1</v>
      </c>
      <c r="K8" s="19" t="n">
        <f aca="false">H8*J8</f>
        <v>15.2</v>
      </c>
      <c r="L8" s="19" t="n">
        <f aca="false">I8*J8</f>
        <v>20.7</v>
      </c>
      <c r="M8" s="24" t="n">
        <v>0.2662</v>
      </c>
      <c r="N8" s="21" t="n">
        <v>2.71</v>
      </c>
      <c r="O8" s="21" t="n">
        <v>1.57</v>
      </c>
      <c r="P8" s="19" t="n">
        <f aca="false">IF(O8="",N8*$C$2,O8)</f>
        <v>1.57</v>
      </c>
      <c r="Q8" s="25" t="n">
        <f aca="false">M8*P8/100*(1-G8)</f>
        <v>0.00417934</v>
      </c>
      <c r="R8" s="26" t="n">
        <f aca="false">Q8*F8</f>
        <v>0.02298637</v>
      </c>
      <c r="S8" s="16" t="n">
        <f aca="false">R8*10</f>
        <v>0.2298637</v>
      </c>
      <c r="T8" s="19" t="n">
        <f aca="false">S8*10</f>
        <v>2.298637</v>
      </c>
      <c r="U8" s="16" t="n">
        <f aca="false">MAX(0,MIN($L8,15)-MAX($K8,0))*$Q8*10</f>
        <v>0</v>
      </c>
      <c r="V8" s="16" t="n">
        <f aca="false">MAX(0,MIN($L8,30)-MAX($K8,15))*$Q8*10</f>
        <v>0.2298637</v>
      </c>
      <c r="W8" s="16" t="n">
        <f aca="false">MAX(0,MIN($L8,50)-MAX($K8,30))*$Q8*10</f>
        <v>0</v>
      </c>
      <c r="X8" s="16" t="n">
        <f aca="false">MAX(0,MIN($L8,100)-MAX($K8,50))*$Q8*10</f>
        <v>0</v>
      </c>
      <c r="Y8" s="14" t="n">
        <v>0.00417934</v>
      </c>
      <c r="Z8" s="27" t="n">
        <f aca="false">Q8-Y8</f>
        <v>0</v>
      </c>
    </row>
    <row r="9" customFormat="false" ht="15" hidden="false" customHeight="false" outlineLevel="0" collapsed="false">
      <c r="A9" s="13" t="n">
        <v>2024</v>
      </c>
      <c r="B9" s="12" t="s">
        <v>100</v>
      </c>
      <c r="C9" s="12" t="s">
        <v>134</v>
      </c>
      <c r="D9" s="14" t="n">
        <v>56.1103556</v>
      </c>
      <c r="E9" s="14" t="n">
        <v>-87.67839</v>
      </c>
      <c r="F9" s="15" t="n">
        <v>8.625</v>
      </c>
      <c r="G9" s="21" t="n">
        <v>0</v>
      </c>
      <c r="H9" s="19" t="n">
        <v>0</v>
      </c>
      <c r="I9" s="19" t="n">
        <f aca="false">H9+F9</f>
        <v>8.625</v>
      </c>
      <c r="J9" s="23" t="n">
        <f aca="false">IFERROR(INDEX('2. Core Log'!$G$5:$G$12,MATCH(B9,'2. Core Log'!$A$5:$A$12,0)),1)</f>
        <v>1</v>
      </c>
      <c r="K9" s="19" t="n">
        <f aca="false">H9*J9</f>
        <v>0</v>
      </c>
      <c r="L9" s="19" t="n">
        <f aca="false">I9*J9</f>
        <v>8.625</v>
      </c>
      <c r="M9" s="24" t="n">
        <v>0.0501</v>
      </c>
      <c r="N9" s="21" t="n">
        <v>62.9</v>
      </c>
      <c r="O9" s="21" t="n">
        <v>36.5</v>
      </c>
      <c r="P9" s="19" t="n">
        <f aca="false">IF(O9="",N9*$C$2,O9)</f>
        <v>36.5</v>
      </c>
      <c r="Q9" s="25" t="n">
        <f aca="false">M9*P9/100*(1-G9)</f>
        <v>0.0182865</v>
      </c>
      <c r="R9" s="26" t="n">
        <f aca="false">Q9*F9</f>
        <v>0.1577210625</v>
      </c>
      <c r="S9" s="16" t="n">
        <f aca="false">R9*10</f>
        <v>1.577210625</v>
      </c>
      <c r="T9" s="19" t="n">
        <f aca="false">S9*10</f>
        <v>15.77210625</v>
      </c>
      <c r="U9" s="16" t="n">
        <f aca="false">MAX(0,MIN($L9,15)-MAX($K9,0))*$Q9*10</f>
        <v>1.577210625</v>
      </c>
      <c r="V9" s="16" t="n">
        <f aca="false">MAX(0,MIN($L9,30)-MAX($K9,15))*$Q9*10</f>
        <v>0</v>
      </c>
      <c r="W9" s="16" t="n">
        <f aca="false">MAX(0,MIN($L9,50)-MAX($K9,30))*$Q9*10</f>
        <v>0</v>
      </c>
      <c r="X9" s="16" t="n">
        <f aca="false">MAX(0,MIN($L9,100)-MAX($K9,50))*$Q9*10</f>
        <v>0</v>
      </c>
      <c r="Y9" s="14" t="n">
        <v>0.0182865</v>
      </c>
      <c r="Z9" s="27" t="n">
        <f aca="false">Q9-Y9</f>
        <v>0</v>
      </c>
    </row>
    <row r="10" customFormat="false" ht="15" hidden="false" customHeight="false" outlineLevel="0" collapsed="false">
      <c r="A10" s="13" t="n">
        <v>2024</v>
      </c>
      <c r="B10" s="12" t="s">
        <v>100</v>
      </c>
      <c r="C10" s="12" t="s">
        <v>135</v>
      </c>
      <c r="D10" s="14" t="n">
        <v>56.1103556</v>
      </c>
      <c r="E10" s="14" t="n">
        <v>-87.67839</v>
      </c>
      <c r="F10" s="15" t="n">
        <v>8.75</v>
      </c>
      <c r="G10" s="21" t="n">
        <v>0</v>
      </c>
      <c r="H10" s="19" t="n">
        <f aca="false">I9</f>
        <v>8.625</v>
      </c>
      <c r="I10" s="19" t="n">
        <f aca="false">H10+F10</f>
        <v>17.375</v>
      </c>
      <c r="J10" s="23" t="n">
        <f aca="false">IFERROR(INDEX('2. Core Log'!$G$5:$G$12,MATCH(B10,'2. Core Log'!$A$5:$A$12,0)),1)</f>
        <v>1</v>
      </c>
      <c r="K10" s="19" t="n">
        <f aca="false">H10*J10</f>
        <v>8.625</v>
      </c>
      <c r="L10" s="19" t="n">
        <f aca="false">I10*J10</f>
        <v>17.375</v>
      </c>
      <c r="M10" s="24" t="n">
        <v>0.0759</v>
      </c>
      <c r="N10" s="21" t="n">
        <v>73.1</v>
      </c>
      <c r="O10" s="21" t="n">
        <v>42.4</v>
      </c>
      <c r="P10" s="19" t="n">
        <f aca="false">IF(O10="",N10*$C$2,O10)</f>
        <v>42.4</v>
      </c>
      <c r="Q10" s="25" t="n">
        <f aca="false">M10*P10/100*(1-G10)</f>
        <v>0.0321816</v>
      </c>
      <c r="R10" s="26" t="n">
        <f aca="false">Q10*F10</f>
        <v>0.281589</v>
      </c>
      <c r="S10" s="16" t="n">
        <f aca="false">R10*10</f>
        <v>2.81589</v>
      </c>
      <c r="T10" s="19" t="n">
        <f aca="false">S10*10</f>
        <v>28.1589</v>
      </c>
      <c r="U10" s="16" t="n">
        <f aca="false">MAX(0,MIN($L10,15)-MAX($K10,0))*$Q10*10</f>
        <v>2.051577</v>
      </c>
      <c r="V10" s="16" t="n">
        <f aca="false">MAX(0,MIN($L10,30)-MAX($K10,15))*$Q10*10</f>
        <v>0.764313</v>
      </c>
      <c r="W10" s="16" t="n">
        <f aca="false">MAX(0,MIN($L10,50)-MAX($K10,30))*$Q10*10</f>
        <v>0</v>
      </c>
      <c r="X10" s="16" t="n">
        <f aca="false">MAX(0,MIN($L10,100)-MAX($K10,50))*$Q10*10</f>
        <v>0</v>
      </c>
      <c r="Y10" s="14" t="n">
        <v>0.0321816</v>
      </c>
      <c r="Z10" s="27" t="n">
        <f aca="false">Q10-Y10</f>
        <v>0</v>
      </c>
    </row>
    <row r="11" customFormat="false" ht="15" hidden="false" customHeight="false" outlineLevel="0" collapsed="false">
      <c r="A11" s="13" t="n">
        <v>2024</v>
      </c>
      <c r="B11" s="12" t="s">
        <v>100</v>
      </c>
      <c r="C11" s="12" t="s">
        <v>136</v>
      </c>
      <c r="D11" s="14" t="n">
        <v>56.1103556</v>
      </c>
      <c r="E11" s="14" t="n">
        <v>-87.67839</v>
      </c>
      <c r="F11" s="15" t="n">
        <v>7.85</v>
      </c>
      <c r="G11" s="21" t="n">
        <v>0</v>
      </c>
      <c r="H11" s="19" t="n">
        <f aca="false">I10</f>
        <v>17.375</v>
      </c>
      <c r="I11" s="19" t="n">
        <f aca="false">H11+F11</f>
        <v>25.225</v>
      </c>
      <c r="J11" s="23" t="n">
        <f aca="false">IFERROR(INDEX('2. Core Log'!$G$5:$G$12,MATCH(B11,'2. Core Log'!$A$5:$A$12,0)),1)</f>
        <v>1</v>
      </c>
      <c r="K11" s="19" t="n">
        <f aca="false">H11*J11</f>
        <v>17.375</v>
      </c>
      <c r="L11" s="19" t="n">
        <f aca="false">I11*J11</f>
        <v>25.225</v>
      </c>
      <c r="M11" s="24" t="n">
        <v>0.1459</v>
      </c>
      <c r="N11" s="21" t="n">
        <v>67.1</v>
      </c>
      <c r="O11" s="21" t="n">
        <v>38.9</v>
      </c>
      <c r="P11" s="19" t="n">
        <f aca="false">IF(O11="",N11*$C$2,O11)</f>
        <v>38.9</v>
      </c>
      <c r="Q11" s="25" t="n">
        <f aca="false">M11*P11/100*(1-G11)</f>
        <v>0.0567551</v>
      </c>
      <c r="R11" s="26" t="n">
        <f aca="false">Q11*F11</f>
        <v>0.445527535</v>
      </c>
      <c r="S11" s="16" t="n">
        <f aca="false">R11*10</f>
        <v>4.45527535</v>
      </c>
      <c r="T11" s="19" t="n">
        <f aca="false">S11*10</f>
        <v>44.5527535</v>
      </c>
      <c r="U11" s="16" t="n">
        <f aca="false">MAX(0,MIN($L11,15)-MAX($K11,0))*$Q11*10</f>
        <v>0</v>
      </c>
      <c r="V11" s="16" t="n">
        <f aca="false">MAX(0,MIN($L11,30)-MAX($K11,15))*$Q11*10</f>
        <v>4.45527535</v>
      </c>
      <c r="W11" s="16" t="n">
        <f aca="false">MAX(0,MIN($L11,50)-MAX($K11,30))*$Q11*10</f>
        <v>0</v>
      </c>
      <c r="X11" s="16" t="n">
        <f aca="false">MAX(0,MIN($L11,100)-MAX($K11,50))*$Q11*10</f>
        <v>0</v>
      </c>
      <c r="Y11" s="14" t="n">
        <v>0.0567551</v>
      </c>
      <c r="Z11" s="27" t="n">
        <f aca="false">Q11-Y11</f>
        <v>0</v>
      </c>
    </row>
    <row r="12" customFormat="false" ht="15" hidden="false" customHeight="false" outlineLevel="0" collapsed="false">
      <c r="A12" s="13" t="n">
        <v>2024</v>
      </c>
      <c r="B12" s="12" t="s">
        <v>100</v>
      </c>
      <c r="C12" s="12" t="s">
        <v>137</v>
      </c>
      <c r="D12" s="14" t="n">
        <v>56.1103556</v>
      </c>
      <c r="E12" s="14" t="n">
        <v>-87.67839</v>
      </c>
      <c r="F12" s="15" t="n">
        <v>5.5</v>
      </c>
      <c r="G12" s="21" t="n">
        <v>0</v>
      </c>
      <c r="H12" s="19" t="n">
        <f aca="false">I11</f>
        <v>25.225</v>
      </c>
      <c r="I12" s="19" t="n">
        <f aca="false">H12+F12</f>
        <v>30.725</v>
      </c>
      <c r="J12" s="23" t="n">
        <f aca="false">IFERROR(INDEX('2. Core Log'!$G$5:$G$12,MATCH(B12,'2. Core Log'!$A$5:$A$12,0)),1)</f>
        <v>1</v>
      </c>
      <c r="K12" s="19" t="n">
        <f aca="false">H12*J12</f>
        <v>25.225</v>
      </c>
      <c r="L12" s="19" t="n">
        <f aca="false">I12*J12</f>
        <v>30.725</v>
      </c>
      <c r="M12" s="24" t="n">
        <v>0.2287</v>
      </c>
      <c r="N12" s="21" t="n">
        <v>18.4</v>
      </c>
      <c r="O12" s="21" t="n">
        <v>10.7</v>
      </c>
      <c r="P12" s="19" t="n">
        <f aca="false">IF(O12="",N12*$C$2,O12)</f>
        <v>10.7</v>
      </c>
      <c r="Q12" s="25" t="n">
        <f aca="false">M12*P12/100*(1-G12)</f>
        <v>0.0244709</v>
      </c>
      <c r="R12" s="26" t="n">
        <f aca="false">Q12*F12</f>
        <v>0.13458995</v>
      </c>
      <c r="S12" s="16" t="n">
        <f aca="false">R12*10</f>
        <v>1.3458995</v>
      </c>
      <c r="T12" s="19" t="n">
        <f aca="false">S12*10</f>
        <v>13.458995</v>
      </c>
      <c r="U12" s="16" t="n">
        <f aca="false">MAX(0,MIN($L12,15)-MAX($K12,0))*$Q12*10</f>
        <v>0</v>
      </c>
      <c r="V12" s="16" t="n">
        <f aca="false">MAX(0,MIN($L12,30)-MAX($K12,15))*$Q12*10</f>
        <v>1.168485475</v>
      </c>
      <c r="W12" s="16" t="n">
        <f aca="false">MAX(0,MIN($L12,50)-MAX($K12,30))*$Q12*10</f>
        <v>0.177414025</v>
      </c>
      <c r="X12" s="16" t="n">
        <f aca="false">MAX(0,MIN($L12,100)-MAX($K12,50))*$Q12*10</f>
        <v>0</v>
      </c>
      <c r="Y12" s="14" t="n">
        <v>0.0244709</v>
      </c>
      <c r="Z12" s="27" t="n">
        <f aca="false">Q12-Y12</f>
        <v>0</v>
      </c>
    </row>
    <row r="13" customFormat="false" ht="15" hidden="false" customHeight="false" outlineLevel="0" collapsed="false">
      <c r="A13" s="13" t="n">
        <v>2025</v>
      </c>
      <c r="B13" s="12" t="s">
        <v>101</v>
      </c>
      <c r="C13" s="12" t="s">
        <v>138</v>
      </c>
      <c r="D13" s="14" t="n">
        <v>56.079389</v>
      </c>
      <c r="E13" s="14" t="n">
        <v>-87.75622</v>
      </c>
      <c r="F13" s="15" t="n">
        <v>10</v>
      </c>
      <c r="G13" s="21" t="n">
        <v>0</v>
      </c>
      <c r="H13" s="19" t="n">
        <v>0</v>
      </c>
      <c r="I13" s="19" t="n">
        <f aca="false">H13+F13</f>
        <v>10</v>
      </c>
      <c r="J13" s="23" t="n">
        <f aca="false">IFERROR(INDEX('2. Core Log'!$G$5:$G$12,MATCH(B13,'2. Core Log'!$A$5:$A$12,0)),1)</f>
        <v>1</v>
      </c>
      <c r="K13" s="19" t="n">
        <f aca="false">H13*J13</f>
        <v>0</v>
      </c>
      <c r="L13" s="19" t="n">
        <f aca="false">I13*J13</f>
        <v>10</v>
      </c>
      <c r="M13" s="24" t="n">
        <v>0.279483076</v>
      </c>
      <c r="N13" s="21" t="n">
        <v>15.6</v>
      </c>
      <c r="O13" s="21" t="n">
        <v>8.6</v>
      </c>
      <c r="P13" s="19" t="n">
        <f aca="false">IF(O13="",N13*$C$2,O13)</f>
        <v>8.6</v>
      </c>
      <c r="Q13" s="25" t="n">
        <f aca="false">M13*P13/100*(1-G13)</f>
        <v>0.024035544536</v>
      </c>
      <c r="R13" s="26" t="n">
        <f aca="false">Q13*F13</f>
        <v>0.24035544536</v>
      </c>
      <c r="S13" s="16" t="n">
        <f aca="false">R13*10</f>
        <v>2.4035544536</v>
      </c>
      <c r="T13" s="19" t="n">
        <f aca="false">S13*10</f>
        <v>24.035544536</v>
      </c>
      <c r="U13" s="16" t="n">
        <f aca="false">MAX(0,MIN($L13,15)-MAX($K13,0))*$Q13*10</f>
        <v>2.4035544536</v>
      </c>
      <c r="V13" s="16" t="n">
        <f aca="false">MAX(0,MIN($L13,30)-MAX($K13,15))*$Q13*10</f>
        <v>0</v>
      </c>
      <c r="W13" s="16" t="n">
        <f aca="false">MAX(0,MIN($L13,50)-MAX($K13,30))*$Q13*10</f>
        <v>0</v>
      </c>
      <c r="X13" s="16" t="n">
        <f aca="false">MAX(0,MIN($L13,100)-MAX($K13,50))*$Q13*10</f>
        <v>0</v>
      </c>
      <c r="Y13" s="14" t="n">
        <v>0.024035545</v>
      </c>
      <c r="Z13" s="27" t="n">
        <f aca="false">Q13-Y13</f>
        <v>-4.63999998145948E-010</v>
      </c>
    </row>
    <row r="14" customFormat="false" ht="15" hidden="false" customHeight="false" outlineLevel="0" collapsed="false">
      <c r="A14" s="13" t="n">
        <v>2025</v>
      </c>
      <c r="B14" s="12" t="s">
        <v>101</v>
      </c>
      <c r="C14" s="12" t="s">
        <v>139</v>
      </c>
      <c r="D14" s="14" t="n">
        <v>56.079389</v>
      </c>
      <c r="E14" s="14" t="n">
        <v>-87.75622</v>
      </c>
      <c r="F14" s="15" t="n">
        <v>10</v>
      </c>
      <c r="G14" s="21" t="n">
        <v>0</v>
      </c>
      <c r="H14" s="19" t="n">
        <f aca="false">I13</f>
        <v>10</v>
      </c>
      <c r="I14" s="19" t="n">
        <f aca="false">H14+F14</f>
        <v>20</v>
      </c>
      <c r="J14" s="23" t="n">
        <f aca="false">IFERROR(INDEX('2. Core Log'!$G$5:$G$12,MATCH(B14,'2. Core Log'!$A$5:$A$12,0)),1)</f>
        <v>1</v>
      </c>
      <c r="K14" s="19" t="n">
        <f aca="false">H14*J14</f>
        <v>10</v>
      </c>
      <c r="L14" s="19" t="n">
        <f aca="false">I14*J14</f>
        <v>20</v>
      </c>
      <c r="M14" s="24" t="n">
        <v>2.036520107</v>
      </c>
      <c r="N14" s="21" t="n">
        <v>2.1</v>
      </c>
      <c r="O14" s="21" t="n">
        <v>1.1</v>
      </c>
      <c r="P14" s="19" t="n">
        <f aca="false">IF(O14="",N14*$C$2,O14)</f>
        <v>1.1</v>
      </c>
      <c r="Q14" s="25" t="n">
        <f aca="false">M14*P14/100*(1-G14)</f>
        <v>0.022401721177</v>
      </c>
      <c r="R14" s="26" t="n">
        <f aca="false">Q14*F14</f>
        <v>0.22401721177</v>
      </c>
      <c r="S14" s="16" t="n">
        <f aca="false">R14*10</f>
        <v>2.2401721177</v>
      </c>
      <c r="T14" s="19" t="n">
        <f aca="false">S14*10</f>
        <v>22.401721177</v>
      </c>
      <c r="U14" s="16" t="n">
        <f aca="false">MAX(0,MIN($L14,15)-MAX($K14,0))*$Q14*10</f>
        <v>1.12008605885</v>
      </c>
      <c r="V14" s="16" t="n">
        <f aca="false">MAX(0,MIN($L14,30)-MAX($K14,15))*$Q14*10</f>
        <v>1.12008605885</v>
      </c>
      <c r="W14" s="16" t="n">
        <f aca="false">MAX(0,MIN($L14,50)-MAX($K14,30))*$Q14*10</f>
        <v>0</v>
      </c>
      <c r="X14" s="16" t="n">
        <f aca="false">MAX(0,MIN($L14,100)-MAX($K14,50))*$Q14*10</f>
        <v>0</v>
      </c>
      <c r="Y14" s="14" t="n">
        <v>0.022401721</v>
      </c>
      <c r="Z14" s="27" t="n">
        <f aca="false">Q14-Y14</f>
        <v>1.77000001461147E-010</v>
      </c>
    </row>
    <row r="15" customFormat="false" ht="15" hidden="false" customHeight="false" outlineLevel="0" collapsed="false">
      <c r="A15" s="13" t="n">
        <v>2025</v>
      </c>
      <c r="B15" s="12" t="s">
        <v>101</v>
      </c>
      <c r="C15" s="12" t="s">
        <v>140</v>
      </c>
      <c r="D15" s="14" t="n">
        <v>56.079389</v>
      </c>
      <c r="E15" s="14" t="n">
        <v>-87.75622</v>
      </c>
      <c r="F15" s="15" t="n">
        <v>10</v>
      </c>
      <c r="G15" s="21" t="n">
        <v>0</v>
      </c>
      <c r="H15" s="19" t="n">
        <f aca="false">I14</f>
        <v>20</v>
      </c>
      <c r="I15" s="19" t="n">
        <f aca="false">H15+F15</f>
        <v>30</v>
      </c>
      <c r="J15" s="23" t="n">
        <f aca="false">IFERROR(INDEX('2. Core Log'!$G$5:$G$12,MATCH(B15,'2. Core Log'!$A$5:$A$12,0)),1)</f>
        <v>1</v>
      </c>
      <c r="K15" s="19" t="n">
        <f aca="false">H15*J15</f>
        <v>20</v>
      </c>
      <c r="L15" s="19" t="n">
        <f aca="false">I15*J15</f>
        <v>30</v>
      </c>
      <c r="M15" s="24" t="n">
        <v>1.624136903</v>
      </c>
      <c r="N15" s="21" t="n">
        <v>1.6</v>
      </c>
      <c r="O15" s="21" t="n">
        <v>0.9</v>
      </c>
      <c r="P15" s="19" t="n">
        <f aca="false">IF(O15="",N15*$C$2,O15)</f>
        <v>0.9</v>
      </c>
      <c r="Q15" s="25" t="n">
        <f aca="false">M15*P15/100*(1-G15)</f>
        <v>0.014617232127</v>
      </c>
      <c r="R15" s="26" t="n">
        <f aca="false">Q15*F15</f>
        <v>0.14617232127</v>
      </c>
      <c r="S15" s="16" t="n">
        <f aca="false">R15*10</f>
        <v>1.4617232127</v>
      </c>
      <c r="T15" s="19" t="n">
        <f aca="false">S15*10</f>
        <v>14.617232127</v>
      </c>
      <c r="U15" s="16" t="n">
        <f aca="false">MAX(0,MIN($L15,15)-MAX($K15,0))*$Q15*10</f>
        <v>0</v>
      </c>
      <c r="V15" s="16" t="n">
        <f aca="false">MAX(0,MIN($L15,30)-MAX($K15,15))*$Q15*10</f>
        <v>1.4617232127</v>
      </c>
      <c r="W15" s="16" t="n">
        <f aca="false">MAX(0,MIN($L15,50)-MAX($K15,30))*$Q15*10</f>
        <v>0</v>
      </c>
      <c r="X15" s="16" t="n">
        <f aca="false">MAX(0,MIN($L15,100)-MAX($K15,50))*$Q15*10</f>
        <v>0</v>
      </c>
      <c r="Y15" s="14" t="n">
        <v>0.014617232</v>
      </c>
      <c r="Z15" s="27" t="n">
        <f aca="false">Q15-Y15</f>
        <v>1.26999999058852E-010</v>
      </c>
    </row>
    <row r="16" customFormat="false" ht="15" hidden="false" customHeight="false" outlineLevel="0" collapsed="false">
      <c r="A16" s="13" t="n">
        <v>2025</v>
      </c>
      <c r="B16" s="12" t="s">
        <v>102</v>
      </c>
      <c r="C16" s="12" t="s">
        <v>141</v>
      </c>
      <c r="D16" s="14" t="n">
        <v>56.074278</v>
      </c>
      <c r="E16" s="14" t="n">
        <v>-87.79556</v>
      </c>
      <c r="F16" s="15" t="n">
        <v>10</v>
      </c>
      <c r="G16" s="21" t="n">
        <v>0</v>
      </c>
      <c r="H16" s="19" t="n">
        <v>0</v>
      </c>
      <c r="I16" s="19" t="n">
        <f aca="false">H16+F16</f>
        <v>10</v>
      </c>
      <c r="J16" s="23" t="n">
        <f aca="false">IFERROR(INDEX('2. Core Log'!$G$5:$G$12,MATCH(B16,'2. Core Log'!$A$5:$A$12,0)),1)</f>
        <v>1</v>
      </c>
      <c r="K16" s="19" t="n">
        <f aca="false">H16*J16</f>
        <v>0</v>
      </c>
      <c r="L16" s="19" t="n">
        <f aca="false">I16*J16</f>
        <v>10</v>
      </c>
      <c r="M16" s="24" t="n">
        <v>1.974657034</v>
      </c>
      <c r="N16" s="21" t="n">
        <v>5.5</v>
      </c>
      <c r="O16" s="21" t="n">
        <v>3.1</v>
      </c>
      <c r="P16" s="19" t="n">
        <f aca="false">IF(O16="",N16*$C$2,O16)</f>
        <v>3.1</v>
      </c>
      <c r="Q16" s="25" t="n">
        <f aca="false">M16*P16/100*(1-G16)</f>
        <v>0.061214368054</v>
      </c>
      <c r="R16" s="26" t="n">
        <f aca="false">Q16*F16</f>
        <v>0.61214368054</v>
      </c>
      <c r="S16" s="16" t="n">
        <f aca="false">R16*10</f>
        <v>6.1214368054</v>
      </c>
      <c r="T16" s="19" t="n">
        <f aca="false">S16*10</f>
        <v>61.214368054</v>
      </c>
      <c r="U16" s="16" t="n">
        <f aca="false">MAX(0,MIN($L16,15)-MAX($K16,0))*$Q16*10</f>
        <v>6.1214368054</v>
      </c>
      <c r="V16" s="16" t="n">
        <f aca="false">MAX(0,MIN($L16,30)-MAX($K16,15))*$Q16*10</f>
        <v>0</v>
      </c>
      <c r="W16" s="16" t="n">
        <f aca="false">MAX(0,MIN($L16,50)-MAX($K16,30))*$Q16*10</f>
        <v>0</v>
      </c>
      <c r="X16" s="16" t="n">
        <f aca="false">MAX(0,MIN($L16,100)-MAX($K16,50))*$Q16*10</f>
        <v>0</v>
      </c>
      <c r="Y16" s="14" t="n">
        <v>0.061214368</v>
      </c>
      <c r="Z16" s="27" t="n">
        <f aca="false">Q16-Y16</f>
        <v>5.40000058557588E-011</v>
      </c>
    </row>
    <row r="17" customFormat="false" ht="15" hidden="false" customHeight="false" outlineLevel="0" collapsed="false">
      <c r="A17" s="13" t="n">
        <v>2025</v>
      </c>
      <c r="B17" s="12" t="s">
        <v>102</v>
      </c>
      <c r="C17" s="12" t="s">
        <v>142</v>
      </c>
      <c r="D17" s="14" t="n">
        <v>56.074278</v>
      </c>
      <c r="E17" s="14" t="n">
        <v>-87.79556</v>
      </c>
      <c r="F17" s="15" t="n">
        <v>10</v>
      </c>
      <c r="G17" s="21" t="n">
        <v>0</v>
      </c>
      <c r="H17" s="19" t="n">
        <f aca="false">I16</f>
        <v>10</v>
      </c>
      <c r="I17" s="19" t="n">
        <f aca="false">H17+F17</f>
        <v>20</v>
      </c>
      <c r="J17" s="23" t="n">
        <f aca="false">IFERROR(INDEX('2. Core Log'!$G$5:$G$12,MATCH(B17,'2. Core Log'!$A$5:$A$12,0)),1)</f>
        <v>1</v>
      </c>
      <c r="K17" s="19" t="n">
        <f aca="false">H17*J17</f>
        <v>10</v>
      </c>
      <c r="L17" s="19" t="n">
        <f aca="false">I17*J17</f>
        <v>20</v>
      </c>
      <c r="M17" s="24" t="n">
        <v>0.996859459</v>
      </c>
      <c r="N17" s="21" t="n">
        <v>3.2</v>
      </c>
      <c r="O17" s="21" t="n">
        <v>1.8</v>
      </c>
      <c r="P17" s="19" t="n">
        <f aca="false">IF(O17="",N17*$C$2,O17)</f>
        <v>1.8</v>
      </c>
      <c r="Q17" s="25" t="n">
        <f aca="false">M17*P17/100*(1-G17)</f>
        <v>0.017943470262</v>
      </c>
      <c r="R17" s="26" t="n">
        <f aca="false">Q17*F17</f>
        <v>0.17943470262</v>
      </c>
      <c r="S17" s="16" t="n">
        <f aca="false">R17*10</f>
        <v>1.7943470262</v>
      </c>
      <c r="T17" s="19" t="n">
        <f aca="false">S17*10</f>
        <v>17.943470262</v>
      </c>
      <c r="U17" s="16" t="n">
        <f aca="false">MAX(0,MIN($L17,15)-MAX($K17,0))*$Q17*10</f>
        <v>0.8971735131</v>
      </c>
      <c r="V17" s="16" t="n">
        <f aca="false">MAX(0,MIN($L17,30)-MAX($K17,15))*$Q17*10</f>
        <v>0.8971735131</v>
      </c>
      <c r="W17" s="16" t="n">
        <f aca="false">MAX(0,MIN($L17,50)-MAX($K17,30))*$Q17*10</f>
        <v>0</v>
      </c>
      <c r="X17" s="16" t="n">
        <f aca="false">MAX(0,MIN($L17,100)-MAX($K17,50))*$Q17*10</f>
        <v>0</v>
      </c>
      <c r="Y17" s="14" t="n">
        <v>0.01794347</v>
      </c>
      <c r="Z17" s="27" t="n">
        <f aca="false">Q17-Y17</f>
        <v>2.61999998085738E-010</v>
      </c>
    </row>
    <row r="18" customFormat="false" ht="15" hidden="false" customHeight="false" outlineLevel="0" collapsed="false">
      <c r="A18" s="13" t="n">
        <v>2025</v>
      </c>
      <c r="B18" s="12" t="s">
        <v>102</v>
      </c>
      <c r="C18" s="12" t="s">
        <v>143</v>
      </c>
      <c r="D18" s="14" t="n">
        <v>56.074278</v>
      </c>
      <c r="E18" s="14" t="n">
        <v>-87.79556</v>
      </c>
      <c r="F18" s="15" t="n">
        <v>10</v>
      </c>
      <c r="G18" s="21" t="n">
        <v>0</v>
      </c>
      <c r="H18" s="19" t="n">
        <f aca="false">I17</f>
        <v>20</v>
      </c>
      <c r="I18" s="19" t="n">
        <f aca="false">H18+F18</f>
        <v>30</v>
      </c>
      <c r="J18" s="23" t="n">
        <f aca="false">IFERROR(INDEX('2. Core Log'!$G$5:$G$12,MATCH(B18,'2. Core Log'!$A$5:$A$12,0)),1)</f>
        <v>1</v>
      </c>
      <c r="K18" s="19" t="n">
        <f aca="false">H18*J18</f>
        <v>20</v>
      </c>
      <c r="L18" s="19" t="n">
        <f aca="false">I18*J18</f>
        <v>30</v>
      </c>
      <c r="M18" s="24" t="n">
        <v>1.053735135</v>
      </c>
      <c r="N18" s="21" t="n">
        <v>1.5</v>
      </c>
      <c r="O18" s="21" t="n">
        <v>0.8</v>
      </c>
      <c r="P18" s="19" t="n">
        <f aca="false">IF(O18="",N18*$C$2,O18)</f>
        <v>0.8</v>
      </c>
      <c r="Q18" s="25" t="n">
        <f aca="false">M18*P18/100*(1-G18)</f>
        <v>0.00842988108</v>
      </c>
      <c r="R18" s="26" t="n">
        <f aca="false">Q18*F18</f>
        <v>0.0842988108</v>
      </c>
      <c r="S18" s="16" t="n">
        <f aca="false">R18*10</f>
        <v>0.842988108</v>
      </c>
      <c r="T18" s="19" t="n">
        <f aca="false">S18*10</f>
        <v>8.42988108</v>
      </c>
      <c r="U18" s="16" t="n">
        <f aca="false">MAX(0,MIN($L18,15)-MAX($K18,0))*$Q18*10</f>
        <v>0</v>
      </c>
      <c r="V18" s="16" t="n">
        <f aca="false">MAX(0,MIN($L18,30)-MAX($K18,15))*$Q18*10</f>
        <v>0.842988108</v>
      </c>
      <c r="W18" s="16" t="n">
        <f aca="false">MAX(0,MIN($L18,50)-MAX($K18,30))*$Q18*10</f>
        <v>0</v>
      </c>
      <c r="X18" s="16" t="n">
        <f aca="false">MAX(0,MIN($L18,100)-MAX($K18,50))*$Q18*10</f>
        <v>0</v>
      </c>
      <c r="Y18" s="14" t="n">
        <v>0.008429881</v>
      </c>
      <c r="Z18" s="27" t="n">
        <f aca="false">Q18-Y18</f>
        <v>7.99999996803358E-011</v>
      </c>
    </row>
    <row r="19" customFormat="false" ht="15" hidden="false" customHeight="false" outlineLevel="0" collapsed="false">
      <c r="A19" s="13" t="n">
        <v>2025</v>
      </c>
      <c r="B19" s="12" t="s">
        <v>103</v>
      </c>
      <c r="C19" s="12" t="s">
        <v>144</v>
      </c>
      <c r="D19" s="14" t="n">
        <v>56.128917</v>
      </c>
      <c r="E19" s="14" t="n">
        <v>-87.87181</v>
      </c>
      <c r="F19" s="15" t="n">
        <v>10</v>
      </c>
      <c r="G19" s="21" t="n">
        <v>0</v>
      </c>
      <c r="H19" s="19" t="n">
        <v>0</v>
      </c>
      <c r="I19" s="19" t="n">
        <f aca="false">H19+F19</f>
        <v>10</v>
      </c>
      <c r="J19" s="23" t="n">
        <f aca="false">IFERROR(INDEX('2. Core Log'!$G$5:$G$12,MATCH(B19,'2. Core Log'!$A$5:$A$12,0)),1)</f>
        <v>1</v>
      </c>
      <c r="K19" s="19" t="n">
        <f aca="false">H19*J19</f>
        <v>0</v>
      </c>
      <c r="L19" s="19" t="n">
        <f aca="false">I19*J19</f>
        <v>10</v>
      </c>
      <c r="M19" s="24" t="n">
        <v>2.063281932</v>
      </c>
      <c r="N19" s="21" t="n">
        <v>1.8</v>
      </c>
      <c r="O19" s="21" t="n">
        <v>1</v>
      </c>
      <c r="P19" s="19" t="n">
        <f aca="false">IF(O19="",N19*$C$2,O19)</f>
        <v>1</v>
      </c>
      <c r="Q19" s="25" t="n">
        <f aca="false">M19*P19/100*(1-G19)</f>
        <v>0.02063281932</v>
      </c>
      <c r="R19" s="26" t="n">
        <f aca="false">Q19*F19</f>
        <v>0.2063281932</v>
      </c>
      <c r="S19" s="16" t="n">
        <f aca="false">R19*10</f>
        <v>2.063281932</v>
      </c>
      <c r="T19" s="19" t="n">
        <f aca="false">S19*10</f>
        <v>20.63281932</v>
      </c>
      <c r="U19" s="16" t="n">
        <f aca="false">MAX(0,MIN($L19,15)-MAX($K19,0))*$Q19*10</f>
        <v>2.063281932</v>
      </c>
      <c r="V19" s="16" t="n">
        <f aca="false">MAX(0,MIN($L19,30)-MAX($K19,15))*$Q19*10</f>
        <v>0</v>
      </c>
      <c r="W19" s="16" t="n">
        <f aca="false">MAX(0,MIN($L19,50)-MAX($K19,30))*$Q19*10</f>
        <v>0</v>
      </c>
      <c r="X19" s="16" t="n">
        <f aca="false">MAX(0,MIN($L19,100)-MAX($K19,50))*$Q19*10</f>
        <v>0</v>
      </c>
      <c r="Y19" s="14" t="n">
        <v>0.020632819</v>
      </c>
      <c r="Z19" s="27" t="n">
        <f aca="false">Q19-Y19</f>
        <v>3.2000000219079E-010</v>
      </c>
    </row>
    <row r="20" customFormat="false" ht="15" hidden="false" customHeight="false" outlineLevel="0" collapsed="false">
      <c r="A20" s="13" t="n">
        <v>2025</v>
      </c>
      <c r="B20" s="12" t="s">
        <v>103</v>
      </c>
      <c r="C20" s="12" t="s">
        <v>145</v>
      </c>
      <c r="D20" s="14" t="n">
        <v>56.128917</v>
      </c>
      <c r="E20" s="14" t="n">
        <v>-87.87181</v>
      </c>
      <c r="F20" s="15" t="n">
        <v>10</v>
      </c>
      <c r="G20" s="21" t="n">
        <v>0</v>
      </c>
      <c r="H20" s="19" t="n">
        <f aca="false">I19</f>
        <v>10</v>
      </c>
      <c r="I20" s="19" t="n">
        <f aca="false">H20+F20</f>
        <v>20</v>
      </c>
      <c r="J20" s="23" t="n">
        <f aca="false">IFERROR(INDEX('2. Core Log'!$G$5:$G$12,MATCH(B20,'2. Core Log'!$A$5:$A$12,0)),1)</f>
        <v>1</v>
      </c>
      <c r="K20" s="19" t="n">
        <f aca="false">H20*J20</f>
        <v>10</v>
      </c>
      <c r="L20" s="19" t="n">
        <f aca="false">I20*J20</f>
        <v>20</v>
      </c>
      <c r="M20" s="24" t="n">
        <v>2.181432451</v>
      </c>
      <c r="N20" s="21" t="n">
        <v>0.9</v>
      </c>
      <c r="O20" s="21" t="n">
        <v>0.5</v>
      </c>
      <c r="P20" s="19" t="n">
        <f aca="false">IF(O20="",N20*$C$2,O20)</f>
        <v>0.5</v>
      </c>
      <c r="Q20" s="25" t="n">
        <f aca="false">M20*P20/100*(1-G20)</f>
        <v>0.010907162255</v>
      </c>
      <c r="R20" s="26" t="n">
        <f aca="false">Q20*F20</f>
        <v>0.10907162255</v>
      </c>
      <c r="S20" s="16" t="n">
        <f aca="false">R20*10</f>
        <v>1.0907162255</v>
      </c>
      <c r="T20" s="19" t="n">
        <f aca="false">S20*10</f>
        <v>10.907162255</v>
      </c>
      <c r="U20" s="16" t="n">
        <f aca="false">MAX(0,MIN($L20,15)-MAX($K20,0))*$Q20*10</f>
        <v>0.54535811275</v>
      </c>
      <c r="V20" s="16" t="n">
        <f aca="false">MAX(0,MIN($L20,30)-MAX($K20,15))*$Q20*10</f>
        <v>0.54535811275</v>
      </c>
      <c r="W20" s="16" t="n">
        <f aca="false">MAX(0,MIN($L20,50)-MAX($K20,30))*$Q20*10</f>
        <v>0</v>
      </c>
      <c r="X20" s="16" t="n">
        <f aca="false">MAX(0,MIN($L20,100)-MAX($K20,50))*$Q20*10</f>
        <v>0</v>
      </c>
      <c r="Y20" s="14" t="n">
        <v>0.010907162</v>
      </c>
      <c r="Z20" s="27" t="n">
        <f aca="false">Q20-Y20</f>
        <v>2.55000000282113E-010</v>
      </c>
    </row>
    <row r="21" customFormat="false" ht="15" hidden="false" customHeight="false" outlineLevel="0" collapsed="false">
      <c r="A21" s="13" t="n">
        <v>2025</v>
      </c>
      <c r="B21" s="12" t="s">
        <v>103</v>
      </c>
      <c r="C21" s="12" t="s">
        <v>146</v>
      </c>
      <c r="D21" s="14" t="n">
        <v>56.128917</v>
      </c>
      <c r="E21" s="14" t="n">
        <v>-87.87181</v>
      </c>
      <c r="F21" s="15" t="n">
        <v>10</v>
      </c>
      <c r="G21" s="21" t="n">
        <v>0</v>
      </c>
      <c r="H21" s="19" t="n">
        <f aca="false">I20</f>
        <v>20</v>
      </c>
      <c r="I21" s="19" t="n">
        <f aca="false">H21+F21</f>
        <v>30</v>
      </c>
      <c r="J21" s="23" t="n">
        <f aca="false">IFERROR(INDEX('2. Core Log'!$G$5:$G$12,MATCH(B21,'2. Core Log'!$A$5:$A$12,0)),1)</f>
        <v>1</v>
      </c>
      <c r="K21" s="19" t="n">
        <f aca="false">H21*J21</f>
        <v>20</v>
      </c>
      <c r="L21" s="19" t="n">
        <f aca="false">I21*J21</f>
        <v>30</v>
      </c>
      <c r="M21" s="24" t="n">
        <v>2.136609922</v>
      </c>
      <c r="N21" s="21" t="n">
        <v>0.8</v>
      </c>
      <c r="O21" s="21" t="n">
        <v>0.5</v>
      </c>
      <c r="P21" s="19" t="n">
        <f aca="false">IF(O21="",N21*$C$2,O21)</f>
        <v>0.5</v>
      </c>
      <c r="Q21" s="25" t="n">
        <f aca="false">M21*P21/100*(1-G21)</f>
        <v>0.01068304961</v>
      </c>
      <c r="R21" s="26" t="n">
        <f aca="false">Q21*F21</f>
        <v>0.1068304961</v>
      </c>
      <c r="S21" s="16" t="n">
        <f aca="false">R21*10</f>
        <v>1.068304961</v>
      </c>
      <c r="T21" s="19" t="n">
        <f aca="false">S21*10</f>
        <v>10.68304961</v>
      </c>
      <c r="U21" s="16" t="n">
        <f aca="false">MAX(0,MIN($L21,15)-MAX($K21,0))*$Q21*10</f>
        <v>0</v>
      </c>
      <c r="V21" s="16" t="n">
        <f aca="false">MAX(0,MIN($L21,30)-MAX($K21,15))*$Q21*10</f>
        <v>1.068304961</v>
      </c>
      <c r="W21" s="16" t="n">
        <f aca="false">MAX(0,MIN($L21,50)-MAX($K21,30))*$Q21*10</f>
        <v>0</v>
      </c>
      <c r="X21" s="16" t="n">
        <f aca="false">MAX(0,MIN($L21,100)-MAX($K21,50))*$Q21*10</f>
        <v>0</v>
      </c>
      <c r="Y21" s="14" t="n">
        <v>0.01068305</v>
      </c>
      <c r="Z21" s="27" t="n">
        <f aca="false">Q21-Y21</f>
        <v>-3.89999999308999E-010</v>
      </c>
    </row>
    <row r="22" customFormat="false" ht="15" hidden="false" customHeight="false" outlineLevel="0" collapsed="false">
      <c r="A22" s="13" t="n">
        <v>2025</v>
      </c>
      <c r="B22" s="12" t="s">
        <v>104</v>
      </c>
      <c r="C22" s="12" t="s">
        <v>147</v>
      </c>
      <c r="D22" s="14" t="n">
        <v>55.992611</v>
      </c>
      <c r="E22" s="14" t="n">
        <v>-87.62825</v>
      </c>
      <c r="F22" s="15" t="n">
        <v>10</v>
      </c>
      <c r="G22" s="21" t="n">
        <v>0</v>
      </c>
      <c r="H22" s="19" t="n">
        <v>0</v>
      </c>
      <c r="I22" s="19" t="n">
        <f aca="false">H22+F22</f>
        <v>10</v>
      </c>
      <c r="J22" s="23" t="n">
        <f aca="false">IFERROR(INDEX('2. Core Log'!$G$5:$G$12,MATCH(B22,'2. Core Log'!$A$5:$A$12,0)),1)</f>
        <v>1</v>
      </c>
      <c r="K22" s="19" t="n">
        <f aca="false">H22*J22</f>
        <v>0</v>
      </c>
      <c r="L22" s="19" t="n">
        <f aca="false">I22*J22</f>
        <v>10</v>
      </c>
      <c r="M22" s="24" t="n">
        <v>0.746665791</v>
      </c>
      <c r="N22" s="21" t="n">
        <v>9.4</v>
      </c>
      <c r="O22" s="21" t="n">
        <v>5.2</v>
      </c>
      <c r="P22" s="19" t="n">
        <f aca="false">IF(O22="",N22*$C$2,O22)</f>
        <v>5.2</v>
      </c>
      <c r="Q22" s="25" t="n">
        <f aca="false">M22*P22/100*(1-G22)</f>
        <v>0.038826621132</v>
      </c>
      <c r="R22" s="26" t="n">
        <f aca="false">Q22*F22</f>
        <v>0.38826621132</v>
      </c>
      <c r="S22" s="16" t="n">
        <f aca="false">R22*10</f>
        <v>3.8826621132</v>
      </c>
      <c r="T22" s="19" t="n">
        <f aca="false">S22*10</f>
        <v>38.826621132</v>
      </c>
      <c r="U22" s="16" t="n">
        <f aca="false">MAX(0,MIN($L22,15)-MAX($K22,0))*$Q22*10</f>
        <v>3.8826621132</v>
      </c>
      <c r="V22" s="16" t="n">
        <f aca="false">MAX(0,MIN($L22,30)-MAX($K22,15))*$Q22*10</f>
        <v>0</v>
      </c>
      <c r="W22" s="16" t="n">
        <f aca="false">MAX(0,MIN($L22,50)-MAX($K22,30))*$Q22*10</f>
        <v>0</v>
      </c>
      <c r="X22" s="16" t="n">
        <f aca="false">MAX(0,MIN($L22,100)-MAX($K22,50))*$Q22*10</f>
        <v>0</v>
      </c>
      <c r="Y22" s="14" t="n">
        <v>0.038826621</v>
      </c>
      <c r="Z22" s="27" t="n">
        <f aca="false">Q22-Y22</f>
        <v>1.32000001207278E-010</v>
      </c>
    </row>
    <row r="23" customFormat="false" ht="15" hidden="false" customHeight="false" outlineLevel="0" collapsed="false">
      <c r="A23" s="13" t="n">
        <v>2025</v>
      </c>
      <c r="B23" s="12" t="s">
        <v>104</v>
      </c>
      <c r="C23" s="12" t="s">
        <v>148</v>
      </c>
      <c r="D23" s="14" t="n">
        <v>55.992611</v>
      </c>
      <c r="E23" s="14" t="n">
        <v>-87.62825</v>
      </c>
      <c r="F23" s="15" t="n">
        <v>10</v>
      </c>
      <c r="G23" s="21" t="n">
        <v>0</v>
      </c>
      <c r="H23" s="19" t="n">
        <f aca="false">I22</f>
        <v>10</v>
      </c>
      <c r="I23" s="19" t="n">
        <f aca="false">H23+F23</f>
        <v>20</v>
      </c>
      <c r="J23" s="23" t="n">
        <f aca="false">IFERROR(INDEX('2. Core Log'!$G$5:$G$12,MATCH(B23,'2. Core Log'!$A$5:$A$12,0)),1)</f>
        <v>1</v>
      </c>
      <c r="K23" s="19" t="n">
        <f aca="false">H23*J23</f>
        <v>10</v>
      </c>
      <c r="L23" s="19" t="n">
        <f aca="false">I23*J23</f>
        <v>20</v>
      </c>
      <c r="M23" s="24" t="n">
        <v>1.49701405</v>
      </c>
      <c r="N23" s="21" t="n">
        <v>3.5</v>
      </c>
      <c r="O23" s="21" t="n">
        <v>1.9</v>
      </c>
      <c r="P23" s="19" t="n">
        <f aca="false">IF(O23="",N23*$C$2,O23)</f>
        <v>1.9</v>
      </c>
      <c r="Q23" s="25" t="n">
        <f aca="false">M23*P23/100*(1-G23)</f>
        <v>0.02844326695</v>
      </c>
      <c r="R23" s="26" t="n">
        <f aca="false">Q23*F23</f>
        <v>0.2844326695</v>
      </c>
      <c r="S23" s="16" t="n">
        <f aca="false">R23*10</f>
        <v>2.844326695</v>
      </c>
      <c r="T23" s="19" t="n">
        <f aca="false">S23*10</f>
        <v>28.44326695</v>
      </c>
      <c r="U23" s="16" t="n">
        <f aca="false">MAX(0,MIN($L23,15)-MAX($K23,0))*$Q23*10</f>
        <v>1.4221633475</v>
      </c>
      <c r="V23" s="16" t="n">
        <f aca="false">MAX(0,MIN($L23,30)-MAX($K23,15))*$Q23*10</f>
        <v>1.4221633475</v>
      </c>
      <c r="W23" s="16" t="n">
        <f aca="false">MAX(0,MIN($L23,50)-MAX($K23,30))*$Q23*10</f>
        <v>0</v>
      </c>
      <c r="X23" s="16" t="n">
        <f aca="false">MAX(0,MIN($L23,100)-MAX($K23,50))*$Q23*10</f>
        <v>0</v>
      </c>
      <c r="Y23" s="14" t="n">
        <v>0.028443267</v>
      </c>
      <c r="Z23" s="27" t="n">
        <f aca="false">Q23-Y23</f>
        <v>-5.00000006675716E-011</v>
      </c>
    </row>
    <row r="24" customFormat="false" ht="15" hidden="false" customHeight="false" outlineLevel="0" collapsed="false">
      <c r="A24" s="13" t="n">
        <v>2025</v>
      </c>
      <c r="B24" s="12" t="s">
        <v>104</v>
      </c>
      <c r="C24" s="12" t="s">
        <v>149</v>
      </c>
      <c r="D24" s="14" t="n">
        <v>55.992611</v>
      </c>
      <c r="E24" s="14" t="n">
        <v>-87.62825</v>
      </c>
      <c r="F24" s="15" t="n">
        <v>10</v>
      </c>
      <c r="G24" s="21" t="n">
        <v>0</v>
      </c>
      <c r="H24" s="19" t="n">
        <f aca="false">I23</f>
        <v>20</v>
      </c>
      <c r="I24" s="19" t="n">
        <f aca="false">H24+F24</f>
        <v>30</v>
      </c>
      <c r="J24" s="23" t="n">
        <f aca="false">IFERROR(INDEX('2. Core Log'!$G$5:$G$12,MATCH(B24,'2. Core Log'!$A$5:$A$12,0)),1)</f>
        <v>1</v>
      </c>
      <c r="K24" s="19" t="n">
        <f aca="false">H24*J24</f>
        <v>20</v>
      </c>
      <c r="L24" s="19" t="n">
        <f aca="false">I24*J24</f>
        <v>30</v>
      </c>
      <c r="M24" s="24" t="n">
        <v>1.10304842</v>
      </c>
      <c r="N24" s="21" t="n">
        <v>2.7</v>
      </c>
      <c r="O24" s="21" t="n">
        <v>1.5</v>
      </c>
      <c r="P24" s="19" t="n">
        <f aca="false">IF(O24="",N24*$C$2,O24)</f>
        <v>1.5</v>
      </c>
      <c r="Q24" s="25" t="n">
        <f aca="false">M24*P24/100*(1-G24)</f>
        <v>0.0165457263</v>
      </c>
      <c r="R24" s="26" t="n">
        <f aca="false">Q24*F24</f>
        <v>0.165457263</v>
      </c>
      <c r="S24" s="16" t="n">
        <f aca="false">R24*10</f>
        <v>1.65457263</v>
      </c>
      <c r="T24" s="19" t="n">
        <f aca="false">S24*10</f>
        <v>16.5457263</v>
      </c>
      <c r="U24" s="16" t="n">
        <f aca="false">MAX(0,MIN($L24,15)-MAX($K24,0))*$Q24*10</f>
        <v>0</v>
      </c>
      <c r="V24" s="16" t="n">
        <f aca="false">MAX(0,MIN($L24,30)-MAX($K24,15))*$Q24*10</f>
        <v>1.65457263</v>
      </c>
      <c r="W24" s="16" t="n">
        <f aca="false">MAX(0,MIN($L24,50)-MAX($K24,30))*$Q24*10</f>
        <v>0</v>
      </c>
      <c r="X24" s="16" t="n">
        <f aca="false">MAX(0,MIN($L24,100)-MAX($K24,50))*$Q24*10</f>
        <v>0</v>
      </c>
      <c r="Y24" s="14" t="n">
        <v>0.016545726</v>
      </c>
      <c r="Z24" s="27" t="n">
        <f aca="false">Q24-Y24</f>
        <v>2.99999997066536E-010</v>
      </c>
    </row>
    <row r="25" customFormat="false" ht="15" hidden="false" customHeight="false" outlineLevel="0" collapsed="false">
      <c r="A25" s="13" t="n">
        <v>2025</v>
      </c>
      <c r="B25" s="12" t="s">
        <v>105</v>
      </c>
      <c r="C25" s="12" t="s">
        <v>150</v>
      </c>
      <c r="D25" s="14" t="n">
        <v>55.965999</v>
      </c>
      <c r="E25" s="14" t="n">
        <v>-87.6282</v>
      </c>
      <c r="F25" s="15" t="n">
        <v>10</v>
      </c>
      <c r="G25" s="21" t="n">
        <v>0</v>
      </c>
      <c r="H25" s="19" t="n">
        <v>0</v>
      </c>
      <c r="I25" s="19" t="n">
        <f aca="false">H25+F25</f>
        <v>10</v>
      </c>
      <c r="J25" s="23" t="n">
        <f aca="false">IFERROR(INDEX('2. Core Log'!$G$5:$G$12,MATCH(B25,'2. Core Log'!$A$5:$A$12,0)),1)</f>
        <v>1</v>
      </c>
      <c r="K25" s="19" t="n">
        <f aca="false">H25*J25</f>
        <v>0</v>
      </c>
      <c r="L25" s="19" t="n">
        <f aca="false">I25*J25</f>
        <v>10</v>
      </c>
      <c r="M25" s="24" t="n">
        <v>1.762904698</v>
      </c>
      <c r="N25" s="21" t="n">
        <v>5.4</v>
      </c>
      <c r="O25" s="21" t="n">
        <v>3</v>
      </c>
      <c r="P25" s="19" t="n">
        <f aca="false">IF(O25="",N25*$C$2,O25)</f>
        <v>3</v>
      </c>
      <c r="Q25" s="25" t="n">
        <f aca="false">M25*P25/100*(1-G25)</f>
        <v>0.05288714094</v>
      </c>
      <c r="R25" s="26" t="n">
        <f aca="false">Q25*F25</f>
        <v>0.5288714094</v>
      </c>
      <c r="S25" s="16" t="n">
        <f aca="false">R25*10</f>
        <v>5.288714094</v>
      </c>
      <c r="T25" s="19" t="n">
        <f aca="false">S25*10</f>
        <v>52.88714094</v>
      </c>
      <c r="U25" s="16" t="n">
        <f aca="false">MAX(0,MIN($L25,15)-MAX($K25,0))*$Q25*10</f>
        <v>5.288714094</v>
      </c>
      <c r="V25" s="16" t="n">
        <f aca="false">MAX(0,MIN($L25,30)-MAX($K25,15))*$Q25*10</f>
        <v>0</v>
      </c>
      <c r="W25" s="16" t="n">
        <f aca="false">MAX(0,MIN($L25,50)-MAX($K25,30))*$Q25*10</f>
        <v>0</v>
      </c>
      <c r="X25" s="16" t="n">
        <f aca="false">MAX(0,MIN($L25,100)-MAX($K25,50))*$Q25*10</f>
        <v>0</v>
      </c>
      <c r="Y25" s="14" t="n">
        <v>0.052887141</v>
      </c>
      <c r="Z25" s="27" t="n">
        <f aca="false">Q25-Y25</f>
        <v>-5.99999980255284E-011</v>
      </c>
    </row>
    <row r="26" customFormat="false" ht="15" hidden="false" customHeight="false" outlineLevel="0" collapsed="false">
      <c r="A26" s="13" t="n">
        <v>2025</v>
      </c>
      <c r="B26" s="12" t="s">
        <v>105</v>
      </c>
      <c r="C26" s="12" t="s">
        <v>151</v>
      </c>
      <c r="D26" s="14" t="n">
        <v>55.965999</v>
      </c>
      <c r="E26" s="14" t="n">
        <v>-87.6282</v>
      </c>
      <c r="F26" s="15" t="n">
        <v>10</v>
      </c>
      <c r="G26" s="21" t="n">
        <v>0</v>
      </c>
      <c r="H26" s="19" t="n">
        <f aca="false">I25</f>
        <v>10</v>
      </c>
      <c r="I26" s="19" t="n">
        <f aca="false">H26+F26</f>
        <v>20</v>
      </c>
      <c r="J26" s="23" t="n">
        <f aca="false">IFERROR(INDEX('2. Core Log'!$G$5:$G$12,MATCH(B26,'2. Core Log'!$A$5:$A$12,0)),1)</f>
        <v>1</v>
      </c>
      <c r="K26" s="19" t="n">
        <f aca="false">H26*J26</f>
        <v>10</v>
      </c>
      <c r="L26" s="19" t="n">
        <f aca="false">I26*J26</f>
        <v>20</v>
      </c>
      <c r="M26" s="24" t="n">
        <v>1.59386606</v>
      </c>
      <c r="N26" s="21" t="n">
        <v>7.3</v>
      </c>
      <c r="O26" s="21" t="n">
        <v>4.1</v>
      </c>
      <c r="P26" s="19" t="n">
        <f aca="false">IF(O26="",N26*$C$2,O26)</f>
        <v>4.1</v>
      </c>
      <c r="Q26" s="25" t="n">
        <f aca="false">M26*P26/100*(1-G26)</f>
        <v>0.06534850846</v>
      </c>
      <c r="R26" s="26" t="n">
        <f aca="false">Q26*F26</f>
        <v>0.6534850846</v>
      </c>
      <c r="S26" s="16" t="n">
        <f aca="false">R26*10</f>
        <v>6.534850846</v>
      </c>
      <c r="T26" s="19" t="n">
        <f aca="false">S26*10</f>
        <v>65.34850846</v>
      </c>
      <c r="U26" s="16" t="n">
        <f aca="false">MAX(0,MIN($L26,15)-MAX($K26,0))*$Q26*10</f>
        <v>3.267425423</v>
      </c>
      <c r="V26" s="16" t="n">
        <f aca="false">MAX(0,MIN($L26,30)-MAX($K26,15))*$Q26*10</f>
        <v>3.267425423</v>
      </c>
      <c r="W26" s="16" t="n">
        <f aca="false">MAX(0,MIN($L26,50)-MAX($K26,30))*$Q26*10</f>
        <v>0</v>
      </c>
      <c r="X26" s="16" t="n">
        <f aca="false">MAX(0,MIN($L26,100)-MAX($K26,50))*$Q26*10</f>
        <v>0</v>
      </c>
      <c r="Y26" s="14" t="n">
        <v>0.065348508</v>
      </c>
      <c r="Z26" s="27" t="n">
        <f aca="false">Q26-Y26</f>
        <v>4.59999996427207E-010</v>
      </c>
    </row>
    <row r="27" customFormat="false" ht="15" hidden="false" customHeight="false" outlineLevel="0" collapsed="false">
      <c r="A27" s="13" t="n">
        <v>2025</v>
      </c>
      <c r="B27" s="12" t="s">
        <v>105</v>
      </c>
      <c r="C27" s="12" t="s">
        <v>152</v>
      </c>
      <c r="D27" s="14" t="n">
        <v>55.965999</v>
      </c>
      <c r="E27" s="14" t="n">
        <v>-87.6282</v>
      </c>
      <c r="F27" s="15" t="n">
        <v>10</v>
      </c>
      <c r="G27" s="21" t="n">
        <v>0</v>
      </c>
      <c r="H27" s="19" t="n">
        <f aca="false">I26</f>
        <v>20</v>
      </c>
      <c r="I27" s="19" t="n">
        <f aca="false">H27+F27</f>
        <v>30</v>
      </c>
      <c r="J27" s="23" t="n">
        <f aca="false">IFERROR(INDEX('2. Core Log'!$G$5:$G$12,MATCH(B27,'2. Core Log'!$A$5:$A$12,0)),1)</f>
        <v>1</v>
      </c>
      <c r="K27" s="19" t="n">
        <f aca="false">H27*J27</f>
        <v>20</v>
      </c>
      <c r="L27" s="19" t="n">
        <f aca="false">I27*J27</f>
        <v>30</v>
      </c>
      <c r="M27" s="24" t="n">
        <v>1.434964496</v>
      </c>
      <c r="N27" s="21" t="n">
        <v>3</v>
      </c>
      <c r="O27" s="21" t="n">
        <v>1.7</v>
      </c>
      <c r="P27" s="19" t="n">
        <f aca="false">IF(O27="",N27*$C$2,O27)</f>
        <v>1.7</v>
      </c>
      <c r="Q27" s="25" t="n">
        <f aca="false">M27*P27/100*(1-G27)</f>
        <v>0.024394396432</v>
      </c>
      <c r="R27" s="26" t="n">
        <f aca="false">Q27*F27</f>
        <v>0.24394396432</v>
      </c>
      <c r="S27" s="16" t="n">
        <f aca="false">R27*10</f>
        <v>2.4394396432</v>
      </c>
      <c r="T27" s="19" t="n">
        <f aca="false">S27*10</f>
        <v>24.394396432</v>
      </c>
      <c r="U27" s="16" t="n">
        <f aca="false">MAX(0,MIN($L27,15)-MAX($K27,0))*$Q27*10</f>
        <v>0</v>
      </c>
      <c r="V27" s="16" t="n">
        <f aca="false">MAX(0,MIN($L27,30)-MAX($K27,15))*$Q27*10</f>
        <v>2.4394396432</v>
      </c>
      <c r="W27" s="16" t="n">
        <f aca="false">MAX(0,MIN($L27,50)-MAX($K27,30))*$Q27*10</f>
        <v>0</v>
      </c>
      <c r="X27" s="16" t="n">
        <f aca="false">MAX(0,MIN($L27,100)-MAX($K27,50))*$Q27*10</f>
        <v>0</v>
      </c>
      <c r="Y27" s="14" t="n">
        <v>0.024394396</v>
      </c>
      <c r="Z27" s="27" t="n">
        <f aca="false">Q27-Y27</f>
        <v>4.3200000174326E-010</v>
      </c>
    </row>
    <row r="28" customFormat="false" ht="15" hidden="false" customHeight="false" outlineLevel="0" collapsed="false">
      <c r="C28" s="28" t="s">
        <v>153</v>
      </c>
      <c r="S28" s="29" t="n">
        <f aca="false">SUM(S6:S27)</f>
        <v>58.0665143385</v>
      </c>
      <c r="T28" s="30" t="n">
        <f aca="false">SUM(T6:T27)</f>
        <v>580.665143385</v>
      </c>
      <c r="U28" s="29" t="n">
        <f aca="false">SUM(U6:U27)</f>
        <v>36.5143819784</v>
      </c>
      <c r="V28" s="29" t="n">
        <f aca="false">SUM(V6:V27)</f>
        <v>21.3747183351</v>
      </c>
      <c r="W28" s="29" t="n">
        <f aca="false">SUM(W6:W27)</f>
        <v>0.177414025</v>
      </c>
      <c r="X28" s="29" t="n">
        <f aca="false">SUM(X6:X27)</f>
        <v>0</v>
      </c>
      <c r="Z28" s="31" t="n">
        <f aca="false">SUMPRODUCT(MAX(ABS(Z6:Z27)))</f>
        <v>4.63999998145948E-010</v>
      </c>
    </row>
    <row r="29" customFormat="false" ht="15" hidden="false" customHeight="false" outlineLevel="0" collapsed="false">
      <c r="C29" s="10" t="s">
        <v>154</v>
      </c>
    </row>
  </sheetData>
  <autoFilter ref="A5:Z27"/>
  <mergeCells count="6">
    <mergeCell ref="A4:G4"/>
    <mergeCell ref="H4:L4"/>
    <mergeCell ref="M4:O4"/>
    <mergeCell ref="P4:T4"/>
    <mergeCell ref="U4:X4"/>
    <mergeCell ref="Y4: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1"/>
    <col collapsed="false" customWidth="true" hidden="false" outlineLevel="0" max="4" min="4" style="0" width="12"/>
    <col collapsed="false" customWidth="true" hidden="false" outlineLevel="0" max="5" min="5" style="0" width="8"/>
    <col collapsed="false" customWidth="true" hidden="false" outlineLevel="0" max="6" min="6" style="0" width="12"/>
    <col collapsed="false" customWidth="true" hidden="false" outlineLevel="0" max="8" min="7" style="0" width="13"/>
    <col collapsed="false" customWidth="true" hidden="false" outlineLevel="0" max="12" min="9" style="0" width="12"/>
    <col collapsed="false" customWidth="true" hidden="false" outlineLevel="0" max="14" min="13" style="0" width="13"/>
    <col collapsed="false" customWidth="true" hidden="false" outlineLevel="0" max="15" min="15" style="0" width="46"/>
  </cols>
  <sheetData>
    <row r="1" customFormat="false" ht="15" hidden="false" customHeight="false" outlineLevel="0" collapsed="false">
      <c r="A1" s="9" t="s">
        <v>155</v>
      </c>
    </row>
    <row r="2" customFormat="false" ht="15" hidden="false" customHeight="false" outlineLevel="0" collapsed="false">
      <c r="A2" s="10" t="s">
        <v>156</v>
      </c>
    </row>
    <row r="4" customFormat="false" ht="39.75" hidden="false" customHeight="true" outlineLevel="0" collapsed="false">
      <c r="A4" s="11" t="s">
        <v>86</v>
      </c>
      <c r="B4" s="11" t="s">
        <v>87</v>
      </c>
      <c r="C4" s="11" t="s">
        <v>88</v>
      </c>
      <c r="D4" s="11" t="s">
        <v>157</v>
      </c>
      <c r="E4" s="11" t="s">
        <v>158</v>
      </c>
      <c r="F4" s="11" t="s">
        <v>95</v>
      </c>
      <c r="G4" s="11" t="s">
        <v>159</v>
      </c>
      <c r="H4" s="11" t="s">
        <v>160</v>
      </c>
      <c r="I4" s="11" t="s">
        <v>161</v>
      </c>
      <c r="J4" s="11" t="s">
        <v>162</v>
      </c>
      <c r="K4" s="11" t="s">
        <v>163</v>
      </c>
      <c r="L4" s="11" t="s">
        <v>164</v>
      </c>
      <c r="M4" s="11" t="s">
        <v>165</v>
      </c>
      <c r="N4" s="11" t="s">
        <v>166</v>
      </c>
      <c r="O4" s="11" t="s">
        <v>167</v>
      </c>
    </row>
    <row r="5" customFormat="false" ht="23.85" hidden="false" customHeight="false" outlineLevel="0" collapsed="false">
      <c r="A5" s="32" t="str">
        <f aca="false">'2. Core Log'!A5</f>
        <v>PM-01-A</v>
      </c>
      <c r="B5" s="17" t="n">
        <f aca="false">'2. Core Log'!B5</f>
        <v>2024</v>
      </c>
      <c r="C5" s="33" t="n">
        <f aca="false">'2. Core Log'!C5</f>
        <v>56.098575</v>
      </c>
      <c r="D5" s="33" t="n">
        <f aca="false">'2. Core Log'!D5</f>
        <v>-87.67978</v>
      </c>
      <c r="E5" s="17" t="n">
        <f aca="false">'2. Core Log'!H5</f>
        <v>1</v>
      </c>
      <c r="F5" s="18" t="n">
        <f aca="false">'2. Core Log'!J5</f>
        <v>14.5</v>
      </c>
      <c r="G5" s="23" t="n">
        <f aca="false">SUMIF('3. Sample Data'!$B$6:$B$27,$A5,'3. Sample Data'!$S$6:$S$27)</f>
        <v>3.0578035</v>
      </c>
      <c r="H5" s="19" t="n">
        <f aca="false">G5*10</f>
        <v>30.578035</v>
      </c>
      <c r="I5" s="23" t="n">
        <f aca="false">IF($F5&lt;=0,"no core material",SUMIF('3. Sample Data'!$B$6:$B$27,$A5,'3. Sample Data'!$U$6:$U$27))</f>
        <v>3.0578035</v>
      </c>
      <c r="J5" s="23" t="str">
        <f aca="false">IF($F5&lt;=15,"no core material",SUMIF('3. Sample Data'!$B$6:$B$27,$A5,'3. Sample Data'!$V$6:$V$27))</f>
        <v>no core material</v>
      </c>
      <c r="K5" s="23" t="str">
        <f aca="false">IF($F5&lt;=30,"no core material",SUMIF('3. Sample Data'!$B$6:$B$27,$A5,'3. Sample Data'!$W$6:$W$27))</f>
        <v>no core material</v>
      </c>
      <c r="L5" s="23" t="str">
        <f aca="false">IF($F5&lt;=50,"no core material",SUMIF('3. Sample Data'!$B$6:$B$27,$A5,'3. Sample Data'!$X$6:$X$27))</f>
        <v>no core material</v>
      </c>
      <c r="M5" s="23" t="n">
        <f aca="false">SUMIF('3. Sample Data'!$B$6:$B$27,$A5,'3. Sample Data'!$U$6:$U$27)+SUMIF('3. Sample Data'!$B$6:$B$27,$A5,'3. Sample Data'!$V$6:$V$27)</f>
        <v>3.0578035</v>
      </c>
      <c r="N5" s="19" t="n">
        <f aca="false">M5*10</f>
        <v>30.578035</v>
      </c>
      <c r="O5" s="34" t="str">
        <f aca="false">IF($F5&gt;=30,"full 0–30 cm coverage","PARTIAL — core stops at "&amp;TEXT($F5,"0.0")&amp;" cm; 0–30 cm stock covers only "&amp;TEXT($F5/30,"0%")&amp;" of the interval")</f>
        <v>PARTIAL — core stops at 14.5 cm; 0–30 cm stock covers only 48% of the interval</v>
      </c>
    </row>
    <row r="6" customFormat="false" ht="23.85" hidden="false" customHeight="false" outlineLevel="0" collapsed="false">
      <c r="A6" s="32" t="str">
        <f aca="false">'2. Core Log'!A6</f>
        <v>PM-02-A</v>
      </c>
      <c r="B6" s="17" t="n">
        <f aca="false">'2. Core Log'!B6</f>
        <v>2024</v>
      </c>
      <c r="C6" s="33" t="n">
        <f aca="false">'2. Core Log'!C6</f>
        <v>56.0996361</v>
      </c>
      <c r="D6" s="33" t="n">
        <f aca="false">'2. Core Log'!D6</f>
        <v>-87.65064</v>
      </c>
      <c r="E6" s="17" t="n">
        <f aca="false">'2. Core Log'!H6</f>
        <v>2</v>
      </c>
      <c r="F6" s="18" t="n">
        <f aca="false">'2. Core Log'!J6</f>
        <v>20.7</v>
      </c>
      <c r="G6" s="23" t="n">
        <f aca="false">SUMIF('3. Sample Data'!$B$6:$B$27,$A6,'3. Sample Data'!$S$6:$S$27)</f>
        <v>3.0833445</v>
      </c>
      <c r="H6" s="19" t="n">
        <f aca="false">G6*10</f>
        <v>30.833445</v>
      </c>
      <c r="I6" s="23" t="n">
        <f aca="false">IF($F6&lt;=0,"no core material",SUMIF('3. Sample Data'!$B$6:$B$27,$A6,'3. Sample Data'!$U$6:$U$27))</f>
        <v>2.815935</v>
      </c>
      <c r="J6" s="23" t="n">
        <f aca="false">IF($F6&lt;=15,"no core material",SUMIF('3. Sample Data'!$B$6:$B$27,$A6,'3. Sample Data'!$V$6:$V$27))</f>
        <v>0.2674095</v>
      </c>
      <c r="K6" s="23" t="str">
        <f aca="false">IF($F6&lt;=30,"no core material",SUMIF('3. Sample Data'!$B$6:$B$27,$A6,'3. Sample Data'!$W$6:$W$27))</f>
        <v>no core material</v>
      </c>
      <c r="L6" s="23" t="str">
        <f aca="false">IF($F6&lt;=50,"no core material",SUMIF('3. Sample Data'!$B$6:$B$27,$A6,'3. Sample Data'!$X$6:$X$27))</f>
        <v>no core material</v>
      </c>
      <c r="M6" s="23" t="n">
        <f aca="false">SUMIF('3. Sample Data'!$B$6:$B$27,$A6,'3. Sample Data'!$U$6:$U$27)+SUMIF('3. Sample Data'!$B$6:$B$27,$A6,'3. Sample Data'!$V$6:$V$27)</f>
        <v>3.0833445</v>
      </c>
      <c r="N6" s="19" t="n">
        <f aca="false">M6*10</f>
        <v>30.833445</v>
      </c>
      <c r="O6" s="34" t="str">
        <f aca="false">IF($F6&gt;=30,"full 0–30 cm coverage","PARTIAL — core stops at "&amp;TEXT($F6,"0.0")&amp;" cm; 0–30 cm stock covers only "&amp;TEXT($F6/30,"0%")&amp;" of the interval")</f>
        <v>PARTIAL — core stops at 20.7 cm; 0–30 cm stock covers only 69% of the interval</v>
      </c>
    </row>
    <row r="7" customFormat="false" ht="15" hidden="false" customHeight="false" outlineLevel="0" collapsed="false">
      <c r="A7" s="32" t="str">
        <f aca="false">'2. Core Log'!A7</f>
        <v>PM-03-A</v>
      </c>
      <c r="B7" s="17" t="n">
        <f aca="false">'2. Core Log'!B7</f>
        <v>2024</v>
      </c>
      <c r="C7" s="33" t="n">
        <f aca="false">'2. Core Log'!C7</f>
        <v>56.1103556</v>
      </c>
      <c r="D7" s="33" t="n">
        <f aca="false">'2. Core Log'!D7</f>
        <v>-87.67839</v>
      </c>
      <c r="E7" s="17" t="n">
        <f aca="false">'2. Core Log'!H7</f>
        <v>4</v>
      </c>
      <c r="F7" s="18" t="n">
        <f aca="false">'2. Core Log'!J7</f>
        <v>30.725</v>
      </c>
      <c r="G7" s="23" t="n">
        <f aca="false">SUMIF('3. Sample Data'!$B$6:$B$27,$A7,'3. Sample Data'!$S$6:$S$27)</f>
        <v>10.194275475</v>
      </c>
      <c r="H7" s="19" t="n">
        <f aca="false">G7*10</f>
        <v>101.94275475</v>
      </c>
      <c r="I7" s="23" t="n">
        <f aca="false">IF($F7&lt;=0,"no core material",SUMIF('3. Sample Data'!$B$6:$B$27,$A7,'3. Sample Data'!$U$6:$U$27))</f>
        <v>3.628787625</v>
      </c>
      <c r="J7" s="23" t="n">
        <f aca="false">IF($F7&lt;=15,"no core material",SUMIF('3. Sample Data'!$B$6:$B$27,$A7,'3. Sample Data'!$V$6:$V$27))</f>
        <v>6.388073825</v>
      </c>
      <c r="K7" s="23" t="n">
        <f aca="false">IF($F7&lt;=30,"no core material",SUMIF('3. Sample Data'!$B$6:$B$27,$A7,'3. Sample Data'!$W$6:$W$27))</f>
        <v>0.177414025</v>
      </c>
      <c r="L7" s="23" t="str">
        <f aca="false">IF($F7&lt;=50,"no core material",SUMIF('3. Sample Data'!$B$6:$B$27,$A7,'3. Sample Data'!$X$6:$X$27))</f>
        <v>no core material</v>
      </c>
      <c r="M7" s="23" t="n">
        <f aca="false">SUMIF('3. Sample Data'!$B$6:$B$27,$A7,'3. Sample Data'!$U$6:$U$27)+SUMIF('3. Sample Data'!$B$6:$B$27,$A7,'3. Sample Data'!$V$6:$V$27)</f>
        <v>10.01686145</v>
      </c>
      <c r="N7" s="19" t="n">
        <f aca="false">M7*10</f>
        <v>100.1686145</v>
      </c>
      <c r="O7" s="34" t="str">
        <f aca="false">IF($F7&gt;=30,"full 0–30 cm coverage","PARTIAL — core stops at "&amp;TEXT($F7,"0.0")&amp;" cm; 0–30 cm stock covers only "&amp;TEXT($F7/30,"0%")&amp;" of the interval")</f>
        <v>full 0–30 cm coverage</v>
      </c>
    </row>
    <row r="8" customFormat="false" ht="15" hidden="false" customHeight="false" outlineLevel="0" collapsed="false">
      <c r="A8" s="32" t="str">
        <f aca="false">'2. Core Log'!A8</f>
        <v>FS-05</v>
      </c>
      <c r="B8" s="17" t="n">
        <f aca="false">'2. Core Log'!B8</f>
        <v>2025</v>
      </c>
      <c r="C8" s="33" t="n">
        <f aca="false">'2. Core Log'!C8</f>
        <v>56.079389</v>
      </c>
      <c r="D8" s="33" t="n">
        <f aca="false">'2. Core Log'!D8</f>
        <v>-87.75622</v>
      </c>
      <c r="E8" s="17" t="n">
        <f aca="false">'2. Core Log'!H8</f>
        <v>3</v>
      </c>
      <c r="F8" s="18" t="n">
        <f aca="false">'2. Core Log'!J8</f>
        <v>30</v>
      </c>
      <c r="G8" s="23" t="n">
        <f aca="false">SUMIF('3. Sample Data'!$B$6:$B$27,$A8,'3. Sample Data'!$S$6:$S$27)</f>
        <v>6.105449784</v>
      </c>
      <c r="H8" s="19" t="n">
        <f aca="false">G8*10</f>
        <v>61.05449784</v>
      </c>
      <c r="I8" s="23" t="n">
        <f aca="false">IF($F8&lt;=0,"no core material",SUMIF('3. Sample Data'!$B$6:$B$27,$A8,'3. Sample Data'!$U$6:$U$27))</f>
        <v>3.52364051245</v>
      </c>
      <c r="J8" s="23" t="n">
        <f aca="false">IF($F8&lt;=15,"no core material",SUMIF('3. Sample Data'!$B$6:$B$27,$A8,'3. Sample Data'!$V$6:$V$27))</f>
        <v>2.58180927155</v>
      </c>
      <c r="K8" s="23" t="str">
        <f aca="false">IF($F8&lt;=30,"no core material",SUMIF('3. Sample Data'!$B$6:$B$27,$A8,'3. Sample Data'!$W$6:$W$27))</f>
        <v>no core material</v>
      </c>
      <c r="L8" s="23" t="str">
        <f aca="false">IF($F8&lt;=50,"no core material",SUMIF('3. Sample Data'!$B$6:$B$27,$A8,'3. Sample Data'!$X$6:$X$27))</f>
        <v>no core material</v>
      </c>
      <c r="M8" s="23" t="n">
        <f aca="false">SUMIF('3. Sample Data'!$B$6:$B$27,$A8,'3. Sample Data'!$U$6:$U$27)+SUMIF('3. Sample Data'!$B$6:$B$27,$A8,'3. Sample Data'!$V$6:$V$27)</f>
        <v>6.105449784</v>
      </c>
      <c r="N8" s="19" t="n">
        <f aca="false">M8*10</f>
        <v>61.05449784</v>
      </c>
      <c r="O8" s="34" t="str">
        <f aca="false">IF($F8&gt;=30,"full 0–30 cm coverage","PARTIAL — core stops at "&amp;TEXT($F8,"0.0")&amp;" cm; 0–30 cm stock covers only "&amp;TEXT($F8/30,"0%")&amp;" of the interval")</f>
        <v>full 0–30 cm coverage</v>
      </c>
    </row>
    <row r="9" customFormat="false" ht="15" hidden="false" customHeight="false" outlineLevel="0" collapsed="false">
      <c r="A9" s="32" t="str">
        <f aca="false">'2. Core Log'!A9</f>
        <v>FS-04</v>
      </c>
      <c r="B9" s="17" t="n">
        <f aca="false">'2. Core Log'!B9</f>
        <v>2025</v>
      </c>
      <c r="C9" s="33" t="n">
        <f aca="false">'2. Core Log'!C9</f>
        <v>56.074278</v>
      </c>
      <c r="D9" s="33" t="n">
        <f aca="false">'2. Core Log'!D9</f>
        <v>-87.79556</v>
      </c>
      <c r="E9" s="17" t="n">
        <f aca="false">'2. Core Log'!H9</f>
        <v>3</v>
      </c>
      <c r="F9" s="18" t="n">
        <f aca="false">'2. Core Log'!J9</f>
        <v>30</v>
      </c>
      <c r="G9" s="23" t="n">
        <f aca="false">SUMIF('3. Sample Data'!$B$6:$B$27,$A9,'3. Sample Data'!$S$6:$S$27)</f>
        <v>8.7587719396</v>
      </c>
      <c r="H9" s="19" t="n">
        <f aca="false">G9*10</f>
        <v>87.587719396</v>
      </c>
      <c r="I9" s="23" t="n">
        <f aca="false">IF($F9&lt;=0,"no core material",SUMIF('3. Sample Data'!$B$6:$B$27,$A9,'3. Sample Data'!$U$6:$U$27))</f>
        <v>7.0186103185</v>
      </c>
      <c r="J9" s="23" t="n">
        <f aca="false">IF($F9&lt;=15,"no core material",SUMIF('3. Sample Data'!$B$6:$B$27,$A9,'3. Sample Data'!$V$6:$V$27))</f>
        <v>1.7401616211</v>
      </c>
      <c r="K9" s="23" t="str">
        <f aca="false">IF($F9&lt;=30,"no core material",SUMIF('3. Sample Data'!$B$6:$B$27,$A9,'3. Sample Data'!$W$6:$W$27))</f>
        <v>no core material</v>
      </c>
      <c r="L9" s="23" t="str">
        <f aca="false">IF($F9&lt;=50,"no core material",SUMIF('3. Sample Data'!$B$6:$B$27,$A9,'3. Sample Data'!$X$6:$X$27))</f>
        <v>no core material</v>
      </c>
      <c r="M9" s="23" t="n">
        <f aca="false">SUMIF('3. Sample Data'!$B$6:$B$27,$A9,'3. Sample Data'!$U$6:$U$27)+SUMIF('3. Sample Data'!$B$6:$B$27,$A9,'3. Sample Data'!$V$6:$V$27)</f>
        <v>8.7587719396</v>
      </c>
      <c r="N9" s="19" t="n">
        <f aca="false">M9*10</f>
        <v>87.587719396</v>
      </c>
      <c r="O9" s="34" t="str">
        <f aca="false">IF($F9&gt;=30,"full 0–30 cm coverage","PARTIAL — core stops at "&amp;TEXT($F9,"0.0")&amp;" cm; 0–30 cm stock covers only "&amp;TEXT($F9/30,"0%")&amp;" of the interval")</f>
        <v>full 0–30 cm coverage</v>
      </c>
    </row>
    <row r="10" customFormat="false" ht="15" hidden="false" customHeight="false" outlineLevel="0" collapsed="false">
      <c r="A10" s="32" t="str">
        <f aca="false">'2. Core Log'!A10</f>
        <v>FS-03</v>
      </c>
      <c r="B10" s="17" t="n">
        <f aca="false">'2. Core Log'!B10</f>
        <v>2025</v>
      </c>
      <c r="C10" s="33" t="n">
        <f aca="false">'2. Core Log'!C10</f>
        <v>56.128917</v>
      </c>
      <c r="D10" s="33" t="n">
        <f aca="false">'2. Core Log'!D10</f>
        <v>-87.87181</v>
      </c>
      <c r="E10" s="17" t="n">
        <f aca="false">'2. Core Log'!H10</f>
        <v>3</v>
      </c>
      <c r="F10" s="18" t="n">
        <f aca="false">'2. Core Log'!J10</f>
        <v>30</v>
      </c>
      <c r="G10" s="23" t="n">
        <f aca="false">SUMIF('3. Sample Data'!$B$6:$B$27,$A10,'3. Sample Data'!$S$6:$S$27)</f>
        <v>4.2223031185</v>
      </c>
      <c r="H10" s="19" t="n">
        <f aca="false">G10*10</f>
        <v>42.223031185</v>
      </c>
      <c r="I10" s="23" t="n">
        <f aca="false">IF($F10&lt;=0,"no core material",SUMIF('3. Sample Data'!$B$6:$B$27,$A10,'3. Sample Data'!$U$6:$U$27))</f>
        <v>2.60864004475</v>
      </c>
      <c r="J10" s="23" t="n">
        <f aca="false">IF($F10&lt;=15,"no core material",SUMIF('3. Sample Data'!$B$6:$B$27,$A10,'3. Sample Data'!$V$6:$V$27))</f>
        <v>1.61366307375</v>
      </c>
      <c r="K10" s="23" t="str">
        <f aca="false">IF($F10&lt;=30,"no core material",SUMIF('3. Sample Data'!$B$6:$B$27,$A10,'3. Sample Data'!$W$6:$W$27))</f>
        <v>no core material</v>
      </c>
      <c r="L10" s="23" t="str">
        <f aca="false">IF($F10&lt;=50,"no core material",SUMIF('3. Sample Data'!$B$6:$B$27,$A10,'3. Sample Data'!$X$6:$X$27))</f>
        <v>no core material</v>
      </c>
      <c r="M10" s="23" t="n">
        <f aca="false">SUMIF('3. Sample Data'!$B$6:$B$27,$A10,'3. Sample Data'!$U$6:$U$27)+SUMIF('3. Sample Data'!$B$6:$B$27,$A10,'3. Sample Data'!$V$6:$V$27)</f>
        <v>4.2223031185</v>
      </c>
      <c r="N10" s="19" t="n">
        <f aca="false">M10*10</f>
        <v>42.223031185</v>
      </c>
      <c r="O10" s="34" t="str">
        <f aca="false">IF($F10&gt;=30,"full 0–30 cm coverage","PARTIAL — core stops at "&amp;TEXT($F10,"0.0")&amp;" cm; 0–30 cm stock covers only "&amp;TEXT($F10/30,"0%")&amp;" of the interval")</f>
        <v>full 0–30 cm coverage</v>
      </c>
    </row>
    <row r="11" customFormat="false" ht="15" hidden="false" customHeight="false" outlineLevel="0" collapsed="false">
      <c r="A11" s="32" t="str">
        <f aca="false">'2. Core Log'!A11</f>
        <v>FS-02</v>
      </c>
      <c r="B11" s="17" t="n">
        <f aca="false">'2. Core Log'!B11</f>
        <v>2025</v>
      </c>
      <c r="C11" s="33" t="n">
        <f aca="false">'2. Core Log'!C11</f>
        <v>55.992611</v>
      </c>
      <c r="D11" s="33" t="n">
        <f aca="false">'2. Core Log'!D11</f>
        <v>-87.62825</v>
      </c>
      <c r="E11" s="17" t="n">
        <f aca="false">'2. Core Log'!H11</f>
        <v>3</v>
      </c>
      <c r="F11" s="18" t="n">
        <f aca="false">'2. Core Log'!J11</f>
        <v>30</v>
      </c>
      <c r="G11" s="23" t="n">
        <f aca="false">SUMIF('3. Sample Data'!$B$6:$B$27,$A11,'3. Sample Data'!$S$6:$S$27)</f>
        <v>8.3815614382</v>
      </c>
      <c r="H11" s="19" t="n">
        <f aca="false">G11*10</f>
        <v>83.815614382</v>
      </c>
      <c r="I11" s="23" t="n">
        <f aca="false">IF($F11&lt;=0,"no core material",SUMIF('3. Sample Data'!$B$6:$B$27,$A11,'3. Sample Data'!$U$6:$U$27))</f>
        <v>5.3048254607</v>
      </c>
      <c r="J11" s="23" t="n">
        <f aca="false">IF($F11&lt;=15,"no core material",SUMIF('3. Sample Data'!$B$6:$B$27,$A11,'3. Sample Data'!$V$6:$V$27))</f>
        <v>3.0767359775</v>
      </c>
      <c r="K11" s="23" t="str">
        <f aca="false">IF($F11&lt;=30,"no core material",SUMIF('3. Sample Data'!$B$6:$B$27,$A11,'3. Sample Data'!$W$6:$W$27))</f>
        <v>no core material</v>
      </c>
      <c r="L11" s="23" t="str">
        <f aca="false">IF($F11&lt;=50,"no core material",SUMIF('3. Sample Data'!$B$6:$B$27,$A11,'3. Sample Data'!$X$6:$X$27))</f>
        <v>no core material</v>
      </c>
      <c r="M11" s="23" t="n">
        <f aca="false">SUMIF('3. Sample Data'!$B$6:$B$27,$A11,'3. Sample Data'!$U$6:$U$27)+SUMIF('3. Sample Data'!$B$6:$B$27,$A11,'3. Sample Data'!$V$6:$V$27)</f>
        <v>8.3815614382</v>
      </c>
      <c r="N11" s="19" t="n">
        <f aca="false">M11*10</f>
        <v>83.815614382</v>
      </c>
      <c r="O11" s="34" t="str">
        <f aca="false">IF($F11&gt;=30,"full 0–30 cm coverage","PARTIAL — core stops at "&amp;TEXT($F11,"0.0")&amp;" cm; 0–30 cm stock covers only "&amp;TEXT($F11/30,"0%")&amp;" of the interval")</f>
        <v>full 0–30 cm coverage</v>
      </c>
    </row>
    <row r="12" customFormat="false" ht="15" hidden="false" customHeight="false" outlineLevel="0" collapsed="false">
      <c r="A12" s="32" t="str">
        <f aca="false">'2. Core Log'!A12</f>
        <v>FS-01</v>
      </c>
      <c r="B12" s="17" t="n">
        <f aca="false">'2. Core Log'!B12</f>
        <v>2025</v>
      </c>
      <c r="C12" s="33" t="n">
        <f aca="false">'2. Core Log'!C12</f>
        <v>55.965999</v>
      </c>
      <c r="D12" s="33" t="n">
        <f aca="false">'2. Core Log'!D12</f>
        <v>-87.6282</v>
      </c>
      <c r="E12" s="17" t="n">
        <f aca="false">'2. Core Log'!H12</f>
        <v>3</v>
      </c>
      <c r="F12" s="18" t="n">
        <f aca="false">'2. Core Log'!J12</f>
        <v>30</v>
      </c>
      <c r="G12" s="23" t="n">
        <f aca="false">SUMIF('3. Sample Data'!$B$6:$B$27,$A12,'3. Sample Data'!$S$6:$S$27)</f>
        <v>14.2630045832</v>
      </c>
      <c r="H12" s="19" t="n">
        <f aca="false">G12*10</f>
        <v>142.630045832</v>
      </c>
      <c r="I12" s="23" t="n">
        <f aca="false">IF($F12&lt;=0,"no core material",SUMIF('3. Sample Data'!$B$6:$B$27,$A12,'3. Sample Data'!$U$6:$U$27))</f>
        <v>8.556139517</v>
      </c>
      <c r="J12" s="23" t="n">
        <f aca="false">IF($F12&lt;=15,"no core material",SUMIF('3. Sample Data'!$B$6:$B$27,$A12,'3. Sample Data'!$V$6:$V$27))</f>
        <v>5.7068650662</v>
      </c>
      <c r="K12" s="23" t="str">
        <f aca="false">IF($F12&lt;=30,"no core material",SUMIF('3. Sample Data'!$B$6:$B$27,$A12,'3. Sample Data'!$W$6:$W$27))</f>
        <v>no core material</v>
      </c>
      <c r="L12" s="23" t="str">
        <f aca="false">IF($F12&lt;=50,"no core material",SUMIF('3. Sample Data'!$B$6:$B$27,$A12,'3. Sample Data'!$X$6:$X$27))</f>
        <v>no core material</v>
      </c>
      <c r="M12" s="23" t="n">
        <f aca="false">SUMIF('3. Sample Data'!$B$6:$B$27,$A12,'3. Sample Data'!$U$6:$U$27)+SUMIF('3. Sample Data'!$B$6:$B$27,$A12,'3. Sample Data'!$V$6:$V$27)</f>
        <v>14.2630045832</v>
      </c>
      <c r="N12" s="19" t="n">
        <f aca="false">M12*10</f>
        <v>142.630045832</v>
      </c>
      <c r="O12" s="34" t="str">
        <f aca="false">IF($F12&gt;=30,"full 0–30 cm coverage","PARTIAL — core stops at "&amp;TEXT($F12,"0.0")&amp;" cm; 0–30 cm stock covers only "&amp;TEXT($F12/30,"0%")&amp;" of the interval")</f>
        <v>full 0–30 cm coverage</v>
      </c>
    </row>
    <row r="13" customFormat="false" ht="15" hidden="false" customHeight="false" outlineLevel="0" collapsed="false">
      <c r="A13" s="28" t="s">
        <v>168</v>
      </c>
      <c r="G13" s="29" t="n">
        <f aca="false">SUM(G5:G12)</f>
        <v>58.0665143385</v>
      </c>
      <c r="M13" s="29" t="n">
        <f aca="false">AVERAGE(M5:M12)</f>
        <v>7.2361375391875</v>
      </c>
      <c r="N13" s="30" t="n">
        <f aca="false">M13*10</f>
        <v>72.361375391875</v>
      </c>
      <c r="O13" s="35"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6" min="1" style="0" width="14"/>
  </cols>
  <sheetData>
    <row r="1" customFormat="false" ht="15" hidden="false" customHeight="false" outlineLevel="0" collapsed="false">
      <c r="A1" s="11" t="s">
        <v>170</v>
      </c>
      <c r="B1" s="11" t="s">
        <v>171</v>
      </c>
      <c r="C1" s="11" t="s">
        <v>172</v>
      </c>
      <c r="D1" s="11" t="s">
        <v>173</v>
      </c>
      <c r="E1" s="11" t="s">
        <v>174</v>
      </c>
      <c r="F1" s="11" t="s">
        <v>175</v>
      </c>
    </row>
    <row r="2" customFormat="false" ht="15" hidden="false" customHeight="false" outlineLevel="0" collapsed="false">
      <c r="A2" s="32" t="str">
        <f aca="false">'3. Sample Data'!B6</f>
        <v>PM-01-A</v>
      </c>
      <c r="B2" s="18" t="n">
        <f aca="false">'3. Sample Data'!K6</f>
        <v>0</v>
      </c>
      <c r="C2" s="18" t="n">
        <f aca="false">'3. Sample Data'!L6</f>
        <v>14.5</v>
      </c>
      <c r="D2" s="36" t="n">
        <f aca="false">'3. Sample Data'!P6*10</f>
        <v>227</v>
      </c>
      <c r="E2" s="37" t="n">
        <f aca="false">'3. Sample Data'!M6</f>
        <v>0.0929</v>
      </c>
      <c r="F2" s="18" t="n">
        <f aca="false">'3. Sample Data'!G6</f>
        <v>0</v>
      </c>
    </row>
    <row r="3" customFormat="false" ht="15" hidden="false" customHeight="false" outlineLevel="0" collapsed="false">
      <c r="A3" s="32" t="str">
        <f aca="false">'3. Sample Data'!B7</f>
        <v>PM-02-A</v>
      </c>
      <c r="B3" s="18" t="n">
        <f aca="false">'3. Sample Data'!K7</f>
        <v>0</v>
      </c>
      <c r="C3" s="18" t="n">
        <f aca="false">'3. Sample Data'!L7</f>
        <v>15.2</v>
      </c>
      <c r="D3" s="36" t="n">
        <f aca="false">'3. Sample Data'!P7*10</f>
        <v>227</v>
      </c>
      <c r="E3" s="37" t="n">
        <f aca="false">'3. Sample Data'!M7</f>
        <v>0.0827</v>
      </c>
      <c r="F3" s="18" t="n">
        <f aca="false">'3. Sample Data'!G7</f>
        <v>0</v>
      </c>
    </row>
    <row r="4" customFormat="false" ht="15" hidden="false" customHeight="false" outlineLevel="0" collapsed="false">
      <c r="A4" s="32" t="str">
        <f aca="false">'3. Sample Data'!B8</f>
        <v>PM-02-A</v>
      </c>
      <c r="B4" s="18" t="n">
        <f aca="false">'3. Sample Data'!K8</f>
        <v>15.2</v>
      </c>
      <c r="C4" s="18" t="n">
        <f aca="false">'3. Sample Data'!L8</f>
        <v>20.7</v>
      </c>
      <c r="D4" s="36" t="n">
        <f aca="false">'3. Sample Data'!P8*10</f>
        <v>15.7</v>
      </c>
      <c r="E4" s="37" t="n">
        <f aca="false">'3. Sample Data'!M8</f>
        <v>0.2662</v>
      </c>
      <c r="F4" s="18" t="n">
        <f aca="false">'3. Sample Data'!G8</f>
        <v>0</v>
      </c>
    </row>
    <row r="5" customFormat="false" ht="15" hidden="false" customHeight="false" outlineLevel="0" collapsed="false">
      <c r="A5" s="32" t="str">
        <f aca="false">'3. Sample Data'!B9</f>
        <v>PM-03-A</v>
      </c>
      <c r="B5" s="18" t="n">
        <f aca="false">'3. Sample Data'!K9</f>
        <v>0</v>
      </c>
      <c r="C5" s="18" t="n">
        <f aca="false">'3. Sample Data'!L9</f>
        <v>8.625</v>
      </c>
      <c r="D5" s="36" t="n">
        <f aca="false">'3. Sample Data'!P9*10</f>
        <v>365</v>
      </c>
      <c r="E5" s="37" t="n">
        <f aca="false">'3. Sample Data'!M9</f>
        <v>0.0501</v>
      </c>
      <c r="F5" s="18" t="n">
        <f aca="false">'3. Sample Data'!G9</f>
        <v>0</v>
      </c>
    </row>
    <row r="6" customFormat="false" ht="15" hidden="false" customHeight="false" outlineLevel="0" collapsed="false">
      <c r="A6" s="32" t="str">
        <f aca="false">'3. Sample Data'!B10</f>
        <v>PM-03-A</v>
      </c>
      <c r="B6" s="18" t="n">
        <f aca="false">'3. Sample Data'!K10</f>
        <v>8.625</v>
      </c>
      <c r="C6" s="18" t="n">
        <f aca="false">'3. Sample Data'!L10</f>
        <v>17.375</v>
      </c>
      <c r="D6" s="36" t="n">
        <f aca="false">'3. Sample Data'!P10*10</f>
        <v>424</v>
      </c>
      <c r="E6" s="37" t="n">
        <f aca="false">'3. Sample Data'!M10</f>
        <v>0.0759</v>
      </c>
      <c r="F6" s="18" t="n">
        <f aca="false">'3. Sample Data'!G10</f>
        <v>0</v>
      </c>
    </row>
    <row r="7" customFormat="false" ht="15" hidden="false" customHeight="false" outlineLevel="0" collapsed="false">
      <c r="A7" s="32" t="str">
        <f aca="false">'3. Sample Data'!B11</f>
        <v>PM-03-A</v>
      </c>
      <c r="B7" s="18" t="n">
        <f aca="false">'3. Sample Data'!K11</f>
        <v>17.375</v>
      </c>
      <c r="C7" s="18" t="n">
        <f aca="false">'3. Sample Data'!L11</f>
        <v>25.225</v>
      </c>
      <c r="D7" s="36" t="n">
        <f aca="false">'3. Sample Data'!P11*10</f>
        <v>389</v>
      </c>
      <c r="E7" s="37" t="n">
        <f aca="false">'3. Sample Data'!M11</f>
        <v>0.1459</v>
      </c>
      <c r="F7" s="18" t="n">
        <f aca="false">'3. Sample Data'!G11</f>
        <v>0</v>
      </c>
    </row>
    <row r="8" customFormat="false" ht="15" hidden="false" customHeight="false" outlineLevel="0" collapsed="false">
      <c r="A8" s="32" t="str">
        <f aca="false">'3. Sample Data'!B12</f>
        <v>PM-03-A</v>
      </c>
      <c r="B8" s="18" t="n">
        <f aca="false">'3. Sample Data'!K12</f>
        <v>25.225</v>
      </c>
      <c r="C8" s="18" t="n">
        <f aca="false">'3. Sample Data'!L12</f>
        <v>30.725</v>
      </c>
      <c r="D8" s="36" t="n">
        <f aca="false">'3. Sample Data'!P12*10</f>
        <v>107</v>
      </c>
      <c r="E8" s="37" t="n">
        <f aca="false">'3. Sample Data'!M12</f>
        <v>0.2287</v>
      </c>
      <c r="F8" s="18" t="n">
        <f aca="false">'3. Sample Data'!G12</f>
        <v>0</v>
      </c>
    </row>
    <row r="9" customFormat="false" ht="15" hidden="false" customHeight="false" outlineLevel="0" collapsed="false">
      <c r="A9" s="32" t="str">
        <f aca="false">'3. Sample Data'!B13</f>
        <v>FS-05</v>
      </c>
      <c r="B9" s="18" t="n">
        <f aca="false">'3. Sample Data'!K13</f>
        <v>0</v>
      </c>
      <c r="C9" s="18" t="n">
        <f aca="false">'3. Sample Data'!L13</f>
        <v>10</v>
      </c>
      <c r="D9" s="36" t="n">
        <f aca="false">'3. Sample Data'!P13*10</f>
        <v>86</v>
      </c>
      <c r="E9" s="37" t="n">
        <f aca="false">'3. Sample Data'!M13</f>
        <v>0.279483076</v>
      </c>
      <c r="F9" s="18" t="n">
        <f aca="false">'3. Sample Data'!G13</f>
        <v>0</v>
      </c>
    </row>
    <row r="10" customFormat="false" ht="15" hidden="false" customHeight="false" outlineLevel="0" collapsed="false">
      <c r="A10" s="32" t="str">
        <f aca="false">'3. Sample Data'!B14</f>
        <v>FS-05</v>
      </c>
      <c r="B10" s="18" t="n">
        <f aca="false">'3. Sample Data'!K14</f>
        <v>10</v>
      </c>
      <c r="C10" s="18" t="n">
        <f aca="false">'3. Sample Data'!L14</f>
        <v>20</v>
      </c>
      <c r="D10" s="36" t="n">
        <f aca="false">'3. Sample Data'!P14*10</f>
        <v>11</v>
      </c>
      <c r="E10" s="37" t="n">
        <f aca="false">'3. Sample Data'!M14</f>
        <v>2.036520107</v>
      </c>
      <c r="F10" s="18" t="n">
        <f aca="false">'3. Sample Data'!G14</f>
        <v>0</v>
      </c>
    </row>
    <row r="11" customFormat="false" ht="15" hidden="false" customHeight="false" outlineLevel="0" collapsed="false">
      <c r="A11" s="32" t="str">
        <f aca="false">'3. Sample Data'!B15</f>
        <v>FS-05</v>
      </c>
      <c r="B11" s="18" t="n">
        <f aca="false">'3. Sample Data'!K15</f>
        <v>20</v>
      </c>
      <c r="C11" s="18" t="n">
        <f aca="false">'3. Sample Data'!L15</f>
        <v>30</v>
      </c>
      <c r="D11" s="36" t="n">
        <f aca="false">'3. Sample Data'!P15*10</f>
        <v>9</v>
      </c>
      <c r="E11" s="37" t="n">
        <f aca="false">'3. Sample Data'!M15</f>
        <v>1.624136903</v>
      </c>
      <c r="F11" s="18" t="n">
        <f aca="false">'3. Sample Data'!G15</f>
        <v>0</v>
      </c>
    </row>
    <row r="12" customFormat="false" ht="15" hidden="false" customHeight="false" outlineLevel="0" collapsed="false">
      <c r="A12" s="32" t="str">
        <f aca="false">'3. Sample Data'!B16</f>
        <v>FS-04</v>
      </c>
      <c r="B12" s="18" t="n">
        <f aca="false">'3. Sample Data'!K16</f>
        <v>0</v>
      </c>
      <c r="C12" s="18" t="n">
        <f aca="false">'3. Sample Data'!L16</f>
        <v>10</v>
      </c>
      <c r="D12" s="36" t="n">
        <f aca="false">'3. Sample Data'!P16*10</f>
        <v>31</v>
      </c>
      <c r="E12" s="37" t="n">
        <f aca="false">'3. Sample Data'!M16</f>
        <v>1.974657034</v>
      </c>
      <c r="F12" s="18" t="n">
        <f aca="false">'3. Sample Data'!G16</f>
        <v>0</v>
      </c>
    </row>
    <row r="13" customFormat="false" ht="15" hidden="false" customHeight="false" outlineLevel="0" collapsed="false">
      <c r="A13" s="32" t="str">
        <f aca="false">'3. Sample Data'!B17</f>
        <v>FS-04</v>
      </c>
      <c r="B13" s="18" t="n">
        <f aca="false">'3. Sample Data'!K17</f>
        <v>10</v>
      </c>
      <c r="C13" s="18" t="n">
        <f aca="false">'3. Sample Data'!L17</f>
        <v>20</v>
      </c>
      <c r="D13" s="36" t="n">
        <f aca="false">'3. Sample Data'!P17*10</f>
        <v>18</v>
      </c>
      <c r="E13" s="37" t="n">
        <f aca="false">'3. Sample Data'!M17</f>
        <v>0.996859459</v>
      </c>
      <c r="F13" s="18" t="n">
        <f aca="false">'3. Sample Data'!G17</f>
        <v>0</v>
      </c>
    </row>
    <row r="14" customFormat="false" ht="15" hidden="false" customHeight="false" outlineLevel="0" collapsed="false">
      <c r="A14" s="32" t="str">
        <f aca="false">'3. Sample Data'!B18</f>
        <v>FS-04</v>
      </c>
      <c r="B14" s="18" t="n">
        <f aca="false">'3. Sample Data'!K18</f>
        <v>20</v>
      </c>
      <c r="C14" s="18" t="n">
        <f aca="false">'3. Sample Data'!L18</f>
        <v>30</v>
      </c>
      <c r="D14" s="36" t="n">
        <f aca="false">'3. Sample Data'!P18*10</f>
        <v>8</v>
      </c>
      <c r="E14" s="37" t="n">
        <f aca="false">'3. Sample Data'!M18</f>
        <v>1.053735135</v>
      </c>
      <c r="F14" s="18" t="n">
        <f aca="false">'3. Sample Data'!G18</f>
        <v>0</v>
      </c>
    </row>
    <row r="15" customFormat="false" ht="15" hidden="false" customHeight="false" outlineLevel="0" collapsed="false">
      <c r="A15" s="32" t="str">
        <f aca="false">'3. Sample Data'!B19</f>
        <v>FS-03</v>
      </c>
      <c r="B15" s="18" t="n">
        <f aca="false">'3. Sample Data'!K19</f>
        <v>0</v>
      </c>
      <c r="C15" s="18" t="n">
        <f aca="false">'3. Sample Data'!L19</f>
        <v>10</v>
      </c>
      <c r="D15" s="36" t="n">
        <f aca="false">'3. Sample Data'!P19*10</f>
        <v>10</v>
      </c>
      <c r="E15" s="37" t="n">
        <f aca="false">'3. Sample Data'!M19</f>
        <v>2.063281932</v>
      </c>
      <c r="F15" s="18" t="n">
        <f aca="false">'3. Sample Data'!G19</f>
        <v>0</v>
      </c>
    </row>
    <row r="16" customFormat="false" ht="15" hidden="false" customHeight="false" outlineLevel="0" collapsed="false">
      <c r="A16" s="32" t="str">
        <f aca="false">'3. Sample Data'!B20</f>
        <v>FS-03</v>
      </c>
      <c r="B16" s="18" t="n">
        <f aca="false">'3. Sample Data'!K20</f>
        <v>10</v>
      </c>
      <c r="C16" s="18" t="n">
        <f aca="false">'3. Sample Data'!L20</f>
        <v>20</v>
      </c>
      <c r="D16" s="36" t="n">
        <f aca="false">'3. Sample Data'!P20*10</f>
        <v>5</v>
      </c>
      <c r="E16" s="37" t="n">
        <f aca="false">'3. Sample Data'!M20</f>
        <v>2.181432451</v>
      </c>
      <c r="F16" s="18" t="n">
        <f aca="false">'3. Sample Data'!G20</f>
        <v>0</v>
      </c>
    </row>
    <row r="17" customFormat="false" ht="15" hidden="false" customHeight="false" outlineLevel="0" collapsed="false">
      <c r="A17" s="32" t="str">
        <f aca="false">'3. Sample Data'!B21</f>
        <v>FS-03</v>
      </c>
      <c r="B17" s="18" t="n">
        <f aca="false">'3. Sample Data'!K21</f>
        <v>20</v>
      </c>
      <c r="C17" s="18" t="n">
        <f aca="false">'3. Sample Data'!L21</f>
        <v>30</v>
      </c>
      <c r="D17" s="36" t="n">
        <f aca="false">'3. Sample Data'!P21*10</f>
        <v>5</v>
      </c>
      <c r="E17" s="37" t="n">
        <f aca="false">'3. Sample Data'!M21</f>
        <v>2.136609922</v>
      </c>
      <c r="F17" s="18" t="n">
        <f aca="false">'3. Sample Data'!G21</f>
        <v>0</v>
      </c>
    </row>
    <row r="18" customFormat="false" ht="15" hidden="false" customHeight="false" outlineLevel="0" collapsed="false">
      <c r="A18" s="32" t="str">
        <f aca="false">'3. Sample Data'!B22</f>
        <v>FS-02</v>
      </c>
      <c r="B18" s="18" t="n">
        <f aca="false">'3. Sample Data'!K22</f>
        <v>0</v>
      </c>
      <c r="C18" s="18" t="n">
        <f aca="false">'3. Sample Data'!L22</f>
        <v>10</v>
      </c>
      <c r="D18" s="36" t="n">
        <f aca="false">'3. Sample Data'!P22*10</f>
        <v>52</v>
      </c>
      <c r="E18" s="37" t="n">
        <f aca="false">'3. Sample Data'!M22</f>
        <v>0.746665791</v>
      </c>
      <c r="F18" s="18" t="n">
        <f aca="false">'3. Sample Data'!G22</f>
        <v>0</v>
      </c>
    </row>
    <row r="19" customFormat="false" ht="15" hidden="false" customHeight="false" outlineLevel="0" collapsed="false">
      <c r="A19" s="32" t="str">
        <f aca="false">'3. Sample Data'!B23</f>
        <v>FS-02</v>
      </c>
      <c r="B19" s="18" t="n">
        <f aca="false">'3. Sample Data'!K23</f>
        <v>10</v>
      </c>
      <c r="C19" s="18" t="n">
        <f aca="false">'3. Sample Data'!L23</f>
        <v>20</v>
      </c>
      <c r="D19" s="36" t="n">
        <f aca="false">'3. Sample Data'!P23*10</f>
        <v>19</v>
      </c>
      <c r="E19" s="37" t="n">
        <f aca="false">'3. Sample Data'!M23</f>
        <v>1.49701405</v>
      </c>
      <c r="F19" s="18" t="n">
        <f aca="false">'3. Sample Data'!G23</f>
        <v>0</v>
      </c>
    </row>
    <row r="20" customFormat="false" ht="15" hidden="false" customHeight="false" outlineLevel="0" collapsed="false">
      <c r="A20" s="32" t="str">
        <f aca="false">'3. Sample Data'!B24</f>
        <v>FS-02</v>
      </c>
      <c r="B20" s="18" t="n">
        <f aca="false">'3. Sample Data'!K24</f>
        <v>20</v>
      </c>
      <c r="C20" s="18" t="n">
        <f aca="false">'3. Sample Data'!L24</f>
        <v>30</v>
      </c>
      <c r="D20" s="36" t="n">
        <f aca="false">'3. Sample Data'!P24*10</f>
        <v>15</v>
      </c>
      <c r="E20" s="37" t="n">
        <f aca="false">'3. Sample Data'!M24</f>
        <v>1.10304842</v>
      </c>
      <c r="F20" s="18" t="n">
        <f aca="false">'3. Sample Data'!G24</f>
        <v>0</v>
      </c>
    </row>
    <row r="21" customFormat="false" ht="15" hidden="false" customHeight="false" outlineLevel="0" collapsed="false">
      <c r="A21" s="32" t="str">
        <f aca="false">'3. Sample Data'!B25</f>
        <v>FS-01</v>
      </c>
      <c r="B21" s="18" t="n">
        <f aca="false">'3. Sample Data'!K25</f>
        <v>0</v>
      </c>
      <c r="C21" s="18" t="n">
        <f aca="false">'3. Sample Data'!L25</f>
        <v>10</v>
      </c>
      <c r="D21" s="36" t="n">
        <f aca="false">'3. Sample Data'!P25*10</f>
        <v>30</v>
      </c>
      <c r="E21" s="37" t="n">
        <f aca="false">'3. Sample Data'!M25</f>
        <v>1.762904698</v>
      </c>
      <c r="F21" s="18" t="n">
        <f aca="false">'3. Sample Data'!G25</f>
        <v>0</v>
      </c>
    </row>
    <row r="22" customFormat="false" ht="15" hidden="false" customHeight="false" outlineLevel="0" collapsed="false">
      <c r="A22" s="32" t="str">
        <f aca="false">'3. Sample Data'!B26</f>
        <v>FS-01</v>
      </c>
      <c r="B22" s="18" t="n">
        <f aca="false">'3. Sample Data'!K26</f>
        <v>10</v>
      </c>
      <c r="C22" s="18" t="n">
        <f aca="false">'3. Sample Data'!L26</f>
        <v>20</v>
      </c>
      <c r="D22" s="36" t="n">
        <f aca="false">'3. Sample Data'!P26*10</f>
        <v>41</v>
      </c>
      <c r="E22" s="37" t="n">
        <f aca="false">'3. Sample Data'!M26</f>
        <v>1.59386606</v>
      </c>
      <c r="F22" s="18" t="n">
        <f aca="false">'3. Sample Data'!G26</f>
        <v>0</v>
      </c>
    </row>
    <row r="23" customFormat="false" ht="15" hidden="false" customHeight="false" outlineLevel="0" collapsed="false">
      <c r="A23" s="32" t="str">
        <f aca="false">'3. Sample Data'!B27</f>
        <v>FS-01</v>
      </c>
      <c r="B23" s="18" t="n">
        <f aca="false">'3. Sample Data'!K27</f>
        <v>20</v>
      </c>
      <c r="C23" s="18" t="n">
        <f aca="false">'3. Sample Data'!L27</f>
        <v>30</v>
      </c>
      <c r="D23" s="36" t="n">
        <f aca="false">'3. Sample Data'!P27*10</f>
        <v>17</v>
      </c>
      <c r="E23" s="37" t="n">
        <f aca="false">'3. Sample Data'!M27</f>
        <v>1.434964496</v>
      </c>
      <c r="F23" s="18" t="n">
        <f aca="false">'3. Sample Data'!G27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13"/>
    <col collapsed="false" customWidth="true" hidden="false" outlineLevel="0" max="4" min="4" style="0" width="12"/>
    <col collapsed="false" customWidth="true" hidden="false" outlineLevel="0" max="5" min="5" style="0" width="16"/>
    <col collapsed="false" customWidth="true" hidden="false" outlineLevel="0" max="6" min="6" style="0" width="14"/>
    <col collapsed="false" customWidth="true" hidden="false" outlineLevel="0" max="7" min="7" style="0" width="52"/>
  </cols>
  <sheetData>
    <row r="1" customFormat="false" ht="15" hidden="false" customHeight="false" outlineLevel="0" collapsed="false">
      <c r="A1" s="11" t="s">
        <v>170</v>
      </c>
      <c r="B1" s="11" t="s">
        <v>176</v>
      </c>
      <c r="C1" s="11" t="s">
        <v>177</v>
      </c>
      <c r="D1" s="11" t="s">
        <v>178</v>
      </c>
      <c r="E1" s="11" t="s">
        <v>179</v>
      </c>
      <c r="F1" s="11" t="s">
        <v>180</v>
      </c>
      <c r="G1" s="11" t="s">
        <v>181</v>
      </c>
    </row>
    <row r="2" customFormat="false" ht="23.85" hidden="false" customHeight="false" outlineLevel="0" collapsed="false">
      <c r="A2" s="32" t="str">
        <f aca="false">'4. Core Summary'!A5</f>
        <v>PM-01-A</v>
      </c>
      <c r="B2" s="33" t="n">
        <f aca="false">'4. Core Summary'!D5</f>
        <v>-87.67978</v>
      </c>
      <c r="C2" s="33" t="n">
        <f aca="false">'4. Core Summary'!C5</f>
        <v>56.098575</v>
      </c>
      <c r="D2" s="23" t="n">
        <f aca="false">'4. Core Summary'!M5</f>
        <v>3.0578035</v>
      </c>
      <c r="E2" s="38" t="s">
        <v>182</v>
      </c>
      <c r="F2" s="38" t="s">
        <v>183</v>
      </c>
      <c r="G2" s="39" t="str">
        <f aca="false">'4. Core Summary'!O5</f>
        <v>PARTIAL — core stops at 14.5 cm; 0–30 cm stock covers only 48% of the interval</v>
      </c>
    </row>
    <row r="3" customFormat="false" ht="23.85" hidden="false" customHeight="false" outlineLevel="0" collapsed="false">
      <c r="A3" s="32" t="str">
        <f aca="false">'4. Core Summary'!A6</f>
        <v>PM-02-A</v>
      </c>
      <c r="B3" s="33" t="n">
        <f aca="false">'4. Core Summary'!D6</f>
        <v>-87.65064</v>
      </c>
      <c r="C3" s="33" t="n">
        <f aca="false">'4. Core Summary'!C6</f>
        <v>56.0996361</v>
      </c>
      <c r="D3" s="23" t="n">
        <f aca="false">'4. Core Summary'!M6</f>
        <v>3.0833445</v>
      </c>
      <c r="E3" s="38" t="s">
        <v>182</v>
      </c>
      <c r="F3" s="38" t="s">
        <v>183</v>
      </c>
      <c r="G3" s="39" t="str">
        <f aca="false">'4. Core Summary'!O6</f>
        <v>PARTIAL — core stops at 20.7 cm; 0–30 cm stock covers only 69% of the interval</v>
      </c>
    </row>
    <row r="4" customFormat="false" ht="15" hidden="false" customHeight="false" outlineLevel="0" collapsed="false">
      <c r="A4" s="32" t="str">
        <f aca="false">'4. Core Summary'!A7</f>
        <v>PM-03-A</v>
      </c>
      <c r="B4" s="33" t="n">
        <f aca="false">'4. Core Summary'!D7</f>
        <v>-87.67839</v>
      </c>
      <c r="C4" s="33" t="n">
        <f aca="false">'4. Core Summary'!C7</f>
        <v>56.1103556</v>
      </c>
      <c r="D4" s="23" t="n">
        <f aca="false">'4. Core Summary'!M7</f>
        <v>10.01686145</v>
      </c>
      <c r="E4" s="38" t="s">
        <v>182</v>
      </c>
      <c r="F4" s="38" t="s">
        <v>183</v>
      </c>
      <c r="G4" s="39" t="str">
        <f aca="false">'4. Core Summary'!O7</f>
        <v>full 0–30 cm coverage</v>
      </c>
    </row>
    <row r="5" customFormat="false" ht="15" hidden="false" customHeight="false" outlineLevel="0" collapsed="false">
      <c r="A5" s="32" t="str">
        <f aca="false">'4. Core Summary'!A8</f>
        <v>FS-05</v>
      </c>
      <c r="B5" s="33" t="n">
        <f aca="false">'4. Core Summary'!D8</f>
        <v>-87.75622</v>
      </c>
      <c r="C5" s="33" t="n">
        <f aca="false">'4. Core Summary'!C8</f>
        <v>56.079389</v>
      </c>
      <c r="D5" s="23" t="n">
        <f aca="false">'4. Core Summary'!M8</f>
        <v>6.105449784</v>
      </c>
      <c r="E5" s="38" t="s">
        <v>182</v>
      </c>
      <c r="F5" s="38" t="s">
        <v>183</v>
      </c>
      <c r="G5" s="39" t="str">
        <f aca="false">'4. Core Summary'!O8</f>
        <v>full 0–30 cm coverage</v>
      </c>
    </row>
    <row r="6" customFormat="false" ht="15" hidden="false" customHeight="false" outlineLevel="0" collapsed="false">
      <c r="A6" s="32" t="str">
        <f aca="false">'4. Core Summary'!A9</f>
        <v>FS-04</v>
      </c>
      <c r="B6" s="33" t="n">
        <f aca="false">'4. Core Summary'!D9</f>
        <v>-87.79556</v>
      </c>
      <c r="C6" s="33" t="n">
        <f aca="false">'4. Core Summary'!C9</f>
        <v>56.074278</v>
      </c>
      <c r="D6" s="23" t="n">
        <f aca="false">'4. Core Summary'!M9</f>
        <v>8.7587719396</v>
      </c>
      <c r="E6" s="38" t="s">
        <v>182</v>
      </c>
      <c r="F6" s="38" t="s">
        <v>183</v>
      </c>
      <c r="G6" s="39" t="str">
        <f aca="false">'4. Core Summary'!O9</f>
        <v>full 0–30 cm coverage</v>
      </c>
    </row>
    <row r="7" customFormat="false" ht="15" hidden="false" customHeight="false" outlineLevel="0" collapsed="false">
      <c r="A7" s="32" t="str">
        <f aca="false">'4. Core Summary'!A10</f>
        <v>FS-03</v>
      </c>
      <c r="B7" s="33" t="n">
        <f aca="false">'4. Core Summary'!D10</f>
        <v>-87.87181</v>
      </c>
      <c r="C7" s="33" t="n">
        <f aca="false">'4. Core Summary'!C10</f>
        <v>56.128917</v>
      </c>
      <c r="D7" s="23" t="n">
        <f aca="false">'4. Core Summary'!M10</f>
        <v>4.2223031185</v>
      </c>
      <c r="E7" s="38" t="s">
        <v>182</v>
      </c>
      <c r="F7" s="38" t="s">
        <v>183</v>
      </c>
      <c r="G7" s="39" t="str">
        <f aca="false">'4. Core Summary'!O10</f>
        <v>full 0–30 cm coverage</v>
      </c>
    </row>
    <row r="8" customFormat="false" ht="15" hidden="false" customHeight="false" outlineLevel="0" collapsed="false">
      <c r="A8" s="32" t="str">
        <f aca="false">'4. Core Summary'!A11</f>
        <v>FS-02</v>
      </c>
      <c r="B8" s="33" t="n">
        <f aca="false">'4. Core Summary'!D11</f>
        <v>-87.62825</v>
      </c>
      <c r="C8" s="33" t="n">
        <f aca="false">'4. Core Summary'!C11</f>
        <v>55.992611</v>
      </c>
      <c r="D8" s="23" t="n">
        <f aca="false">'4. Core Summary'!M11</f>
        <v>8.3815614382</v>
      </c>
      <c r="E8" s="38" t="s">
        <v>182</v>
      </c>
      <c r="F8" s="38" t="s">
        <v>183</v>
      </c>
      <c r="G8" s="39" t="str">
        <f aca="false">'4. Core Summary'!O11</f>
        <v>full 0–30 cm coverage</v>
      </c>
    </row>
    <row r="9" customFormat="false" ht="15" hidden="false" customHeight="false" outlineLevel="0" collapsed="false">
      <c r="A9" s="32" t="str">
        <f aca="false">'4. Core Summary'!A12</f>
        <v>FS-01</v>
      </c>
      <c r="B9" s="33" t="n">
        <f aca="false">'4. Core Summary'!D12</f>
        <v>-87.6282</v>
      </c>
      <c r="C9" s="33" t="n">
        <f aca="false">'4. Core Summary'!C12</f>
        <v>55.965999</v>
      </c>
      <c r="D9" s="23" t="n">
        <f aca="false">'4. Core Summary'!M12</f>
        <v>14.2630045832</v>
      </c>
      <c r="E9" s="38" t="s">
        <v>182</v>
      </c>
      <c r="F9" s="38" t="s">
        <v>183</v>
      </c>
      <c r="G9" s="39" t="str">
        <f aca="false">'4. Core Summary'!O12</f>
        <v>full 0–30 cm coverage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2026-08-12T13:55:00Z</dcterms:created>
  <dc:creator>openpyxl</dc:creator>
  <dc:description/>
  <dc:language>en-US</dc:language>
  <cp:lastModifiedBy/>
  <dcterms:modified xsi:type="dcterms:W3CDTF">2026-08-12T13:55:00Z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