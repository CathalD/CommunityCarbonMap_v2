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. Instructions" sheetId="1" state="visible" r:id="rId3"/>
    <sheet name="2. Core Log" sheetId="2" state="visible" r:id="rId4"/>
    <sheet name="3. Sample Data" sheetId="3" state="visible" r:id="rId5"/>
    <sheet name="4. Core Summary" sheetId="4" state="visible" r:id="rId6"/>
    <sheet name="5. R export (layers)" sheetId="5" state="visible" r:id="rId7"/>
    <sheet name="6. R export (plots)" sheetId="6" state="visible" r:id="rId8"/>
  </sheets>
  <definedNames>
    <definedName function="false" hidden="true" localSheetId="2" name="_xlnm._FilterDatabase" vbProcedure="false">'3. Sample Data'!$A$5:$Z$53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4" authorId="0">
      <text>
        <r>
          <rPr>
            <sz val="10"/>
            <rFont val="Arial"/>
            <family val="2"/>
          </rPr>
          <t xml:space="preserve">Corrected longitude: western hemisphere is negative. Column E keeps the number exactly as supplied by the raw file, so any sign correction stays visible.</t>
        </r>
      </text>
    </comment>
    <comment ref="K4" authorId="0">
      <text>
        <r>
          <rPr>
            <sz val="10"/>
            <rFont val="Arial"/>
            <family val="2"/>
          </rPr>
          <t xml:space="preserve">Fill in from field notes -- the regional model can use it as a stratifying covariate later.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The 'Depth' column of the raw file is the THICKNESS of each slice, not its bottom depth. Columns H-I stack the slices from the surface.</t>
        </r>
      </text>
    </comment>
    <comment ref="G5" authorId="0">
      <text>
        <r>
          <rPr>
            <sz val="10"/>
            <rFont val="Arial"/>
            <family val="2"/>
          </rPr>
          <t xml:space="preserve">Entered as 0 (no coarse fragments), which is what the supplied carbon-density column also assumes. Change it here if the field notes say otherwise -- it feeds the stock of every row.</t>
        </r>
      </text>
    </comment>
    <comment ref="Y5" authorId="0">
      <text>
        <r>
          <rPr>
            <sz val="10"/>
            <rFont val="Arial"/>
            <family val="2"/>
          </rPr>
          <t xml:space="preserve">The volumetric carbon density supplied in the raw file: bulk density x %C / 100, in g C per cm3. It has NOT been multiplied by slice thickness -- column R is the areal stock.</t>
        </r>
      </text>
    </comment>
    <comment ref="Z54" authorId="0">
      <text>
        <r>
          <rPr>
            <sz val="10"/>
            <rFont val="Arial"/>
            <family val="2"/>
          </rPr>
          <t xml:space="preserve">Largest absolute disagreement between the carbon density recomputed on this sheet and the value supplied in the raw source file, over all rows. Should be 0.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21" authorId="0">
      <text>
        <r>
          <rPr>
            <sz val="10"/>
            <rFont val="Arial"/>
            <family val="2"/>
          </rPr>
          <t xml:space="preserve">Mean across all 8 cores, including the partial-coverage ones. For the step-0 data inventory's 'ground cores' row, use the mean over full-coverage cores only.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Save this sheet as data/soil_cores_raw.csv -- the file scripts/run_02_harmonize_depths.R reads. Keep the header names exactly as they are: harmonize_core_depths() builds an aqp SoilProfileCollection with depths(df) &lt;- plot_id ~ depth_from + depth_to, and depthharm() is called with var.name = 'soc'. soc is in g/kg (= %C x 10). Rows must stay sorted by plot_id with no gaps or overlaps within a core.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'observed' is the 0-30 cm stock in kg C/m2. scripts/run_03_extract_covariates.R expects plot_id + observed on a point layer (data/field_plots.gpkg). Build it from this sheet with terra::vect(df, geom = c('longitude','latitude'), crs = 'EPSG:4326') and project to a metric CRS before use. Drop or downweight rows whose coverage_flag says PARTIAL, and keep the units consistent with the prior raster you fuse against.</t>
        </r>
      </text>
    </comment>
  </commentList>
</comments>
</file>

<file path=xl/sharedStrings.xml><?xml version="1.0" encoding="utf-8"?>
<sst xmlns="http://schemas.openxmlformats.org/spreadsheetml/2006/main" count="308" uniqueCount="215">
  <si>
    <t xml:space="preserve">Workshop — Community &amp; Regional Carbon Mapping · Ground-data sheet</t>
  </si>
  <si>
    <t xml:space="preserve">Companion to the Regional Map Updating Framework workshop (docs/workshop.html), Step 2 — Process and harmonize the ground data. Adapted from the WWF-Canada Blue Carbon Eelgrass workshop digital data sheet (Measuring Carbon in Coastal Sediments, 2026); see WHAT CHANGED below.</t>
  </si>
  <si>
    <t xml:space="preserve">WHAT THIS WORKBOOK IS FOR</t>
  </si>
  <si>
    <t xml:space="preserve">Deliverable 02 of the workshop's first deliverable list: raw measurements → carbon stock → depth harmonisation → the response variable, with every unit conversion visible. Do the arithmetic here first; the R code in R/step02_harmonize_depths.R has to reproduce these numbers before it is trusted.</t>
  </si>
  <si>
    <t xml:space="preserve">HOW TO USE THIS WORKBOOK</t>
  </si>
  <si>
    <t xml:space="preserve">Sheet 2 — Core Log</t>
  </si>
  <si>
    <t xml:space="preserve">One row per CORE. Enter the core's position, an optional compaction factor, and landform/cover notes. Slice count, recovered length and in-situ depth calculate themselves from sheet 3.</t>
  </si>
  <si>
    <t xml:space="preserve">Sheet 3 — Sample Data</t>
  </si>
  <si>
    <t xml:space="preserve">One row per SLICE. Enter the field columns before you leave site, then add the lab columns when results come back. Everything else calculates.</t>
  </si>
  <si>
    <t xml:space="preserve">Sheet 4 — Core Summary</t>
  </si>
  <si>
    <t xml:space="preserve">Per-core totals and the depth-harmonised stocks. Fully automatic — nothing to type here.</t>
  </si>
  <si>
    <t xml:space="preserve">Sheet 5 — R export (layers)</t>
  </si>
  <si>
    <t xml:space="preserve">The flat table scripts/run_02_harmonize_depths.R reads. Save as CSV to data/soil_cores_raw.csv — column names must stay exactly as they are.</t>
  </si>
  <si>
    <t xml:space="preserve">Sheet 6 — R export (plots)</t>
  </si>
  <si>
    <t xml:space="preserve">One row per core, carrying plot_id + observed, for scripts/run_03_extract_covariates.R. Save as CSV, or build the point layer data/field_plots.gpkg from it.</t>
  </si>
  <si>
    <t xml:space="preserve">COLOUR KEY</t>
  </si>
  <si>
    <t xml:space="preserve">Yellow fill / blue text</t>
  </si>
  <si>
    <t xml:space="preserve">Data you type — from the field or from the lab report.</t>
  </si>
  <si>
    <t xml:space="preserve">Grey fill / black text</t>
  </si>
  <si>
    <t xml:space="preserve">Calculated. Do not type over these — you will break the column.</t>
  </si>
  <si>
    <t xml:space="preserve">Green text</t>
  </si>
  <si>
    <t xml:space="preserve">Pulled from another sheet in this workbook.</t>
  </si>
  <si>
    <t xml:space="preserve">Sheet 3 comes pre-filled with the workshop's EXAMPLE dataset -- 16 fictional cores whose numbers match the worked examples in the workshop text. Replace them with your own field data when you are ready.</t>
  </si>
  <si>
    <t xml:space="preserve">THE FIVE BANDS ON SHEET 3</t>
  </si>
  <si>
    <t xml:space="preserve">1. Data from the field</t>
  </si>
  <si>
    <t xml:space="preserve">Year, core and sample id, position, measured slice thickness, coarse-fragment fraction. Copy directly from the field data sheet.</t>
  </si>
  <si>
    <t xml:space="preserve">2. Calculated before the lab</t>
  </si>
  <si>
    <t xml:space="preserve">Slices stacked from the surface into depth-from / depth-to, then corrected to in-situ depths using the core's compaction factor.</t>
  </si>
  <si>
    <t xml:space="preserve">3. Measured by the lab</t>
  </si>
  <si>
    <t xml:space="preserve">Dry bulk density, organic matter by loss-on-ignition, and organic carbon.</t>
  </si>
  <si>
    <t xml:space="preserve">4. Calculated after the lab</t>
  </si>
  <si>
    <t xml:space="preserve">Carbon density and the carbon stock of each slice, in three units.</t>
  </si>
  <si>
    <t xml:space="preserve">5. Harmonised to target depths</t>
  </si>
  <si>
    <t xml:space="preserve">Each slice's contribution to the workshop's target intervals 0–15, 15–30, 30–50, 50–100 cm, split by how much of the target each slice covers — the overlap-weighting in Step 2b of the workshop.</t>
  </si>
  <si>
    <t xml:space="preserve">Cross-check (cols Y–Z)</t>
  </si>
  <si>
    <t xml:space="preserve">The carbon density recomputed here, minus the value supplied in the raw source file. Should be 0.000000 on every row.</t>
  </si>
  <si>
    <t xml:space="preserve">THE THREE EQUATIONS</t>
  </si>
  <si>
    <t xml:space="preserve">Carbon density (g C/cm³)</t>
  </si>
  <si>
    <t xml:space="preserve">bulk density (g/cm³) × organic carbon (%) / 100 × (1 − coarse-fragment fraction)</t>
  </si>
  <si>
    <t xml:space="preserve">Slice stock (g C/cm²)</t>
  </si>
  <si>
    <t xml:space="preserve">carbon density (g C/cm³) × measured slice thickness (cm)</t>
  </si>
  <si>
    <t xml:space="preserve">Unit conversions</t>
  </si>
  <si>
    <t xml:space="preserve">1 g C/cm² = 10 kg C/m² = 100 Mg C/ha</t>
  </si>
  <si>
    <t xml:space="preserve">Harmonised stock</t>
  </si>
  <si>
    <t xml:space="preserve">carbon density × (overlap of the slice with the target interval, cm) × 10, summed over the core</t>
  </si>
  <si>
    <t xml:space="preserve">UNITS</t>
  </si>
  <si>
    <t xml:space="preserve">Depths / thickness</t>
  </si>
  <si>
    <t xml:space="preserve">centimetres (cm)</t>
  </si>
  <si>
    <t xml:space="preserve">Dry bulk density</t>
  </si>
  <si>
    <t xml:space="preserve">g/cm³</t>
  </si>
  <si>
    <t xml:space="preserve">Organic matter, organic carbon</t>
  </si>
  <si>
    <t xml:space="preserve">percent (0–100). Some labs return a decimal fraction (0–1) — check before entering.</t>
  </si>
  <si>
    <t xml:space="preserve">soc on sheet 5</t>
  </si>
  <si>
    <t xml:space="preserve">g/kg, which is simply %C × 10 — the unit soilassessment::depthharm() is given.</t>
  </si>
  <si>
    <t xml:space="preserve">Carbon stock</t>
  </si>
  <si>
    <t xml:space="preserve">reported per slice as g C/cm², kg C/m² and Mg C/ha. The prior maps in CarbonResources_Assets+Covariates are in kg C/m²; the workshop text uses Mg C/ha.</t>
  </si>
  <si>
    <t xml:space="preserve">WHAT CHANGED FROM THE EELGRASS VERSION</t>
  </si>
  <si>
    <t xml:space="preserve">Compaction</t>
  </si>
  <si>
    <t xml:space="preserve">Reduced from a computed block (corer diameter + two insertion depths) to ONE optional factor per core on sheet 2, because the community dataset arrives with bulk density already computed and no insertion depths recorded. Blank = 1.00 = no correction. The rule is unchanged: compaction corrects DEPTHS, not stocks — the dry mass in the tube already came from a taller in-situ column, so applying the factor to the stock as well double-counts it.</t>
  </si>
  <si>
    <t xml:space="preserve">Corer diameter, wet/dry weights, sample volume</t>
  </si>
  <si>
    <t xml:space="preserve">Removed. Those columns existed to derive bulk density; here the lab reports it directly. Put them back if you start coring for bulk density yourself — and measure the corer's INTERNAL diameter with calipers, because volume sits in the denominator of bulk density and an assumed diameter biases every stock.</t>
  </si>
  <si>
    <t xml:space="preserve">Depth harmonisation</t>
  </si>
  <si>
    <t xml:space="preserve">New band 5. The eelgrass sheet stopped at per-slice stocks; this workflow needs stocks on the workshop's fixed target intervals so cores with different slicing are comparable and can be joined to raster priors.</t>
  </si>
  <si>
    <t xml:space="preserve">Units</t>
  </si>
  <si>
    <t xml:space="preserve">Stocks now also in kg C/m² and Mg C/ha, the units the prior maps and the workshop use.</t>
  </si>
  <si>
    <t xml:space="preserve">R export sheets</t>
  </si>
  <si>
    <t xml:space="preserve">New sheets 5 and 6, shaped to the column names scripts/run_02 and scripts/run_03 expect.</t>
  </si>
  <si>
    <t xml:space="preserve">THINGS THAT OFTEN CATCH PEOPLE OUT</t>
  </si>
  <si>
    <t xml:space="preserve">Longitude signs</t>
  </si>
  <si>
    <t xml:space="preserve">The western hemisphere is NEGATIVE longitude. GPS units and lab sheets sometimes drop the sign; a positive longitude puts your cores on the other side of the planet, and every map step downstream fails quietly. Column D on sheet 2 is the corrected value; column E keeps the number exactly as supplied so the correction is visible.</t>
  </si>
  <si>
    <t xml:space="preserve">'Depth' means slice THICKNESS here</t>
  </si>
  <si>
    <t xml:space="preserve">Not depth-to-bottom. Sheet 3 stacks the slices from the surface to get each slice's true depth interval (columns H-I). If your field sheet records bottom depths instead, convert before entering.</t>
  </si>
  <si>
    <t xml:space="preserve">Volumetric vs areal carbon density</t>
  </si>
  <si>
    <t xml:space="preserve">g C per cm3 (a property of the soil) is not g C per cm2 (a stock -- density x thickness). Mixing them is a factor-of-thickness error. Sheet 3 computes the volumetric density in column Q and only turns it into a stock in column R.</t>
  </si>
  <si>
    <t xml:space="preserve">Cores that stop short</t>
  </si>
  <si>
    <t xml:space="preserve">A core that reaches 20 cm is not a 0-30 cm observation. Do not stretch or guess -- enter it as measured. Sheet 4 flags partial coverage, and the R workflow's depth harmonization accounts for it explicitly.</t>
  </si>
  <si>
    <t xml:space="preserve">%C from loss-on-ignition</t>
  </si>
  <si>
    <t xml:space="preserve">If your lab reports organic matter (LOI) rather than measured carbon, %C is estimated as OM x a conversion factor (cell C2 on sheet 3, default 0.58). That is an assumption, not a measurement -- record which one your numbers are.</t>
  </si>
  <si>
    <t xml:space="preserve">Implausible bulk densities</t>
  </si>
  <si>
    <t xml:space="preserve">Dry bulk density above ~1.9 g/cm3 in soil, or above ~0.3 in peat, deserves a call to the lab before it drives an analysis: volume sits in the denominator, so one wrong volume biases every stock from that core.</t>
  </si>
  <si>
    <t xml:space="preserve">Sheet 2 — Core Log  (one row per CORE)</t>
  </si>
  <si>
    <t xml:space="preserve">Compaction factor = in-situ core length ÷ recovered length. Leave blank if you did not measure it — blank is treated as 1.00 (no correction). It corrects DEPTHS only, never stocks.</t>
  </si>
  <si>
    <t xml:space="preserve">Core Id</t>
  </si>
  <si>
    <t xml:space="preserve">Year</t>
  </si>
  <si>
    <t xml:space="preserve">Latitude (°N)</t>
  </si>
  <si>
    <t xml:space="preserve">Longitude (°E, corrected)</t>
  </si>
  <si>
    <t xml:space="preserve">Longitude as supplied</t>
  </si>
  <si>
    <t xml:space="preserve">Compaction factor (optional)</t>
  </si>
  <si>
    <t xml:space="preserve">Compaction factor used</t>
  </si>
  <si>
    <t xml:space="preserve">Slices recorded</t>
  </si>
  <si>
    <t xml:space="preserve">Recovered core length (cm)</t>
  </si>
  <si>
    <t xml:space="preserve">In-situ core depth (cm)</t>
  </si>
  <si>
    <t xml:space="preserve">Landform / cover</t>
  </si>
  <si>
    <t xml:space="preserve">Notes</t>
  </si>
  <si>
    <t xml:space="preserve">EX-01</t>
  </si>
  <si>
    <t xml:space="preserve">EX-02</t>
  </si>
  <si>
    <t xml:space="preserve">EX-03</t>
  </si>
  <si>
    <t xml:space="preserve">EX-04</t>
  </si>
  <si>
    <t xml:space="preserve">EX-05</t>
  </si>
  <si>
    <t xml:space="preserve">EX-06</t>
  </si>
  <si>
    <t xml:space="preserve">EX-07</t>
  </si>
  <si>
    <t xml:space="preserve">EX-08</t>
  </si>
  <si>
    <t xml:space="preserve">EX-09</t>
  </si>
  <si>
    <t xml:space="preserve">EX-10</t>
  </si>
  <si>
    <t xml:space="preserve">EX-11</t>
  </si>
  <si>
    <t xml:space="preserve">EX-12</t>
  </si>
  <si>
    <t xml:space="preserve">EX-13</t>
  </si>
  <si>
    <t xml:space="preserve">EX-14</t>
  </si>
  <si>
    <t xml:space="preserve">EX-15</t>
  </si>
  <si>
    <t xml:space="preserve">EX-16</t>
  </si>
  <si>
    <t xml:space="preserve">Sheet 3 — Sample Data  (one row per SLICE)</t>
  </si>
  <si>
    <t xml:space="preserve">Organic matter → organic carbon factor:</t>
  </si>
  <si>
    <t xml:space="preserve">van Bemmelen. Used only where 'Organic carbon, measured (%C)' (column O) is blank. In this dataset %C / OM = 0.58 on every row, so the supplied %C is itself LOI-derived, not an independent measurement.</t>
  </si>
  <si>
    <t xml:space="preserve">Target depth intervals are the workshop's: 0–15, 15–30, 30–50, 50–100 cm. Changing them means editing the four formulas in columns U–X.</t>
  </si>
  <si>
    <t xml:space="preserve">5. Harmonised to target depths (kg C/m²)</t>
  </si>
  <si>
    <t xml:space="preserve">Cross-check vs. source file</t>
  </si>
  <si>
    <t xml:space="preserve">Sample Id</t>
  </si>
  <si>
    <t xml:space="preserve">Measured slice thickness (cm)</t>
  </si>
  <si>
    <t xml:space="preserve">Coarse-fragment fraction (0–1)</t>
  </si>
  <si>
    <t xml:space="preserve">Depth from, measured (cm)</t>
  </si>
  <si>
    <t xml:space="preserve">Depth to, measured (cm)</t>
  </si>
  <si>
    <t xml:space="preserve">Compaction factor</t>
  </si>
  <si>
    <t xml:space="preserve">In-situ depth from (cm)</t>
  </si>
  <si>
    <t xml:space="preserve">In-situ depth to (cm)</t>
  </si>
  <si>
    <t xml:space="preserve">Dry bulk density (g/cm³)</t>
  </si>
  <si>
    <t xml:space="preserve">Organic matter, LOI (%)</t>
  </si>
  <si>
    <t xml:space="preserve">Organic carbon, measured (%C)</t>
  </si>
  <si>
    <t xml:space="preserve">Organic carbon used (%C)</t>
  </si>
  <si>
    <t xml:space="preserve">Slice stock (kg C/m²)</t>
  </si>
  <si>
    <t xml:space="preserve">Slice stock (Mg C/ha)</t>
  </si>
  <si>
    <t xml:space="preserve">→ 0–15 cm</t>
  </si>
  <si>
    <t xml:space="preserve">→ 15–30 cm</t>
  </si>
  <si>
    <t xml:space="preserve">→ 30–50 cm</t>
  </si>
  <si>
    <t xml:space="preserve">→ 50–100 cm</t>
  </si>
  <si>
    <t xml:space="preserve">C density as supplied (g/cm³)</t>
  </si>
  <si>
    <t xml:space="preserve">Check: this sheet − supplied</t>
  </si>
  <si>
    <t xml:space="preserve">EX-01-1</t>
  </si>
  <si>
    <t xml:space="preserve">EX-01-2</t>
  </si>
  <si>
    <t xml:space="preserve">EX-01-3</t>
  </si>
  <si>
    <t xml:space="preserve">EX-02-1</t>
  </si>
  <si>
    <t xml:space="preserve">EX-02-2</t>
  </si>
  <si>
    <t xml:space="preserve">EX-02-3</t>
  </si>
  <si>
    <t xml:space="preserve">EX-03-1</t>
  </si>
  <si>
    <t xml:space="preserve">EX-03-2</t>
  </si>
  <si>
    <t xml:space="preserve">EX-03-3</t>
  </si>
  <si>
    <t xml:space="preserve">EX-04-1</t>
  </si>
  <si>
    <t xml:space="preserve">EX-04-2</t>
  </si>
  <si>
    <t xml:space="preserve">EX-04-3</t>
  </si>
  <si>
    <t xml:space="preserve">EX-05-1</t>
  </si>
  <si>
    <t xml:space="preserve">EX-05-2</t>
  </si>
  <si>
    <t xml:space="preserve">EX-05-3</t>
  </si>
  <si>
    <t xml:space="preserve">EX-06-1</t>
  </si>
  <si>
    <t xml:space="preserve">EX-06-2</t>
  </si>
  <si>
    <t xml:space="preserve">EX-06-3</t>
  </si>
  <si>
    <t xml:space="preserve">EX-07-1</t>
  </si>
  <si>
    <t xml:space="preserve">EX-07-2</t>
  </si>
  <si>
    <t xml:space="preserve">EX-07-3</t>
  </si>
  <si>
    <t xml:space="preserve">EX-08-1</t>
  </si>
  <si>
    <t xml:space="preserve">EX-08-2</t>
  </si>
  <si>
    <t xml:space="preserve">EX-08-3</t>
  </si>
  <si>
    <t xml:space="preserve">EX-09-1</t>
  </si>
  <si>
    <t xml:space="preserve">EX-09-2</t>
  </si>
  <si>
    <t xml:space="preserve">EX-09-3</t>
  </si>
  <si>
    <t xml:space="preserve">EX-10-1</t>
  </si>
  <si>
    <t xml:space="preserve">EX-10-2</t>
  </si>
  <si>
    <t xml:space="preserve">EX-10-3</t>
  </si>
  <si>
    <t xml:space="preserve">EX-11-1</t>
  </si>
  <si>
    <t xml:space="preserve">EX-11-2</t>
  </si>
  <si>
    <t xml:space="preserve">EX-11-3</t>
  </si>
  <si>
    <t xml:space="preserve">EX-12-1</t>
  </si>
  <si>
    <t xml:space="preserve">EX-12-2</t>
  </si>
  <si>
    <t xml:space="preserve">EX-12-3</t>
  </si>
  <si>
    <t xml:space="preserve">EX-13-1</t>
  </si>
  <si>
    <t xml:space="preserve">EX-13-2</t>
  </si>
  <si>
    <t xml:space="preserve">EX-13-3</t>
  </si>
  <si>
    <t xml:space="preserve">EX-14-1</t>
  </si>
  <si>
    <t xml:space="preserve">EX-14-2</t>
  </si>
  <si>
    <t xml:space="preserve">EX-14-3</t>
  </si>
  <si>
    <t xml:space="preserve">EX-15-1</t>
  </si>
  <si>
    <t xml:space="preserve">EX-15-2</t>
  </si>
  <si>
    <t xml:space="preserve">EX-15-3</t>
  </si>
  <si>
    <t xml:space="preserve">EX-16-1</t>
  </si>
  <si>
    <t xml:space="preserve">EX-16-2</t>
  </si>
  <si>
    <t xml:space="preserve">EX-16-3</t>
  </si>
  <si>
    <t xml:space="preserve">Total / max |check|</t>
  </si>
  <si>
    <t xml:space="preserve">Column-U–X totals are the whole-dataset stock in each target interval, not a per-core value — see sheet 4 for per-core numbers.</t>
  </si>
  <si>
    <t xml:space="preserve">Sheet 4 — Core Summary  (fully automatic — nothing to type here)</t>
  </si>
  <si>
    <t xml:space="preserve">A target interval with no core material reports 'no core material', not 0. 0–30 cm is the response variable step 3 extracts covariates against — use only rows flagged 'full 0–30 cm coverage'.</t>
  </si>
  <si>
    <t xml:space="preserve">Longitude (°E)</t>
  </si>
  <si>
    <t xml:space="preserve">Slices</t>
  </si>
  <si>
    <t xml:space="preserve">Whole-core stock (kg C/m²)</t>
  </si>
  <si>
    <t xml:space="preserve">Whole-core stock (Mg C/ha)</t>
  </si>
  <si>
    <t xml:space="preserve">0–15 cm (kg C/m²)</t>
  </si>
  <si>
    <t xml:space="preserve">15–30 cm (kg C/m²)</t>
  </si>
  <si>
    <t xml:space="preserve">30–50 cm (kg C/m²)</t>
  </si>
  <si>
    <t xml:space="preserve">50–100 cm (kg C/m²)</t>
  </si>
  <si>
    <t xml:space="preserve">0–30 cm (kg C/m²)</t>
  </si>
  <si>
    <t xml:space="preserve">0–30 cm (Mg C/ha)</t>
  </si>
  <si>
    <t xml:space="preserve">Depth coverage flag</t>
  </si>
  <si>
    <t xml:space="preserve">All cores</t>
  </si>
  <si>
    <t xml:space="preserve">mean 0–30 cm stock over all cores, partial cores included</t>
  </si>
  <si>
    <t xml:space="preserve">plot_id</t>
  </si>
  <si>
    <t xml:space="preserve">depth_from</t>
  </si>
  <si>
    <t xml:space="preserve">depth_to</t>
  </si>
  <si>
    <t xml:space="preserve">soc</t>
  </si>
  <si>
    <t xml:space="preserve">bulk_density</t>
  </si>
  <si>
    <t xml:space="preserve">coarse_frag</t>
  </si>
  <si>
    <t xml:space="preserve">longitude</t>
  </si>
  <si>
    <t xml:space="preserve">latitude</t>
  </si>
  <si>
    <t xml:space="preserve">observed</t>
  </si>
  <si>
    <t xml:space="preserve">observed_units</t>
  </si>
  <si>
    <t xml:space="preserve">depth_basis</t>
  </si>
  <si>
    <t xml:space="preserve">coverage_flag</t>
  </si>
  <si>
    <t xml:space="preserve">kg C/m2</t>
  </si>
  <si>
    <t xml:space="preserve">0-30 cm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</si>
</sst>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0.000000"/>
    <numFmt numFmtId="167" formatCode="0.000"/>
    <numFmt numFmtId="168" formatCode="0.00"/>
    <numFmt numFmtId="169" formatCode="0.0000"/>
    <numFmt numFmtId="170" formatCode="0.000000000"/>
    <numFmt numFmtId="171" formatCode="0.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color rgb="FF1F4E79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10"/>
      <color rgb="FF1F4E79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6100"/>
      <name val="Arial"/>
      <family val="0"/>
      <charset val="1"/>
    </font>
    <font>
      <sz val="10"/>
      <name val="Arial"/>
      <family val="2"/>
    </font>
    <font>
      <b val="true"/>
      <sz val="9"/>
      <color rgb="FF1F3864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FFF2CC"/>
        <bgColor rgb="FFEDEDED"/>
      </patternFill>
    </fill>
    <fill>
      <patternFill patternType="solid">
        <fgColor rgb="FFEDEDED"/>
        <bgColor rgb="FFFFF2CC"/>
      </patternFill>
    </fill>
    <fill>
      <patternFill patternType="solid">
        <fgColor rgb="FFD9D9D9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0061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96"/>
  </cols>
  <sheetData>
    <row r="1" customFormat="false" ht="21.75" hidden="false" customHeight="true" outlineLevel="0" collapsed="false">
      <c r="A1" s="1" t="s">
        <v>0</v>
      </c>
      <c r="B1" s="2"/>
    </row>
    <row r="2" customFormat="false" ht="35.05" hidden="false" customHeight="false" outlineLevel="0" collapsed="false">
      <c r="A2" s="3"/>
      <c r="B2" s="3" t="s">
        <v>1</v>
      </c>
    </row>
    <row r="4" customFormat="false" ht="15" hidden="false" customHeight="false" outlineLevel="0" collapsed="false">
      <c r="A4" s="4" t="s">
        <v>2</v>
      </c>
    </row>
    <row r="5" customFormat="false" ht="23.85" hidden="false" customHeight="false" outlineLevel="0" collapsed="false">
      <c r="A5" s="3"/>
      <c r="B5" s="3" t="s">
        <v>3</v>
      </c>
    </row>
    <row r="7" customFormat="false" ht="15" hidden="false" customHeight="false" outlineLevel="0" collapsed="false">
      <c r="A7" s="4" t="s">
        <v>4</v>
      </c>
    </row>
    <row r="8" customFormat="false" ht="23.85" hidden="false" customHeight="false" outlineLevel="0" collapsed="false">
      <c r="A8" s="3" t="s">
        <v>5</v>
      </c>
      <c r="B8" s="3" t="s">
        <v>6</v>
      </c>
    </row>
    <row r="9" customFormat="false" ht="15" hidden="false" customHeight="false" outlineLevel="0" collapsed="false">
      <c r="A9" s="3" t="s">
        <v>7</v>
      </c>
      <c r="B9" s="3" t="s">
        <v>8</v>
      </c>
    </row>
    <row r="10" customFormat="false" ht="15" hidden="false" customHeight="false" outlineLevel="0" collapsed="false">
      <c r="A10" s="3" t="s">
        <v>9</v>
      </c>
      <c r="B10" s="3" t="s">
        <v>10</v>
      </c>
    </row>
    <row r="11" customFormat="false" ht="15" hidden="false" customHeight="false" outlineLevel="0" collapsed="false">
      <c r="A11" s="3" t="s">
        <v>11</v>
      </c>
      <c r="B11" s="3" t="s">
        <v>12</v>
      </c>
    </row>
    <row r="12" customFormat="false" ht="23.85" hidden="false" customHeight="false" outlineLevel="0" collapsed="false">
      <c r="A12" s="3" t="s">
        <v>13</v>
      </c>
      <c r="B12" s="3" t="s">
        <v>14</v>
      </c>
    </row>
    <row r="14" customFormat="false" ht="15" hidden="false" customHeight="false" outlineLevel="0" collapsed="false">
      <c r="A14" s="4" t="s">
        <v>15</v>
      </c>
    </row>
    <row r="15" customFormat="false" ht="15" hidden="false" customHeight="false" outlineLevel="0" collapsed="false">
      <c r="A15" s="5" t="s">
        <v>16</v>
      </c>
      <c r="B15" s="3" t="s">
        <v>17</v>
      </c>
    </row>
    <row r="16" customFormat="false" ht="15" hidden="false" customHeight="false" outlineLevel="0" collapsed="false">
      <c r="A16" s="6" t="s">
        <v>18</v>
      </c>
      <c r="B16" s="3" t="s">
        <v>19</v>
      </c>
    </row>
    <row r="17" customFormat="false" ht="15" hidden="false" customHeight="false" outlineLevel="0" collapsed="false">
      <c r="A17" s="7" t="s">
        <v>20</v>
      </c>
      <c r="B17" s="3" t="s">
        <v>21</v>
      </c>
    </row>
    <row r="18" customFormat="false" ht="22.35" hidden="false" customHeight="false" outlineLevel="0" collapsed="false">
      <c r="A18" s="8"/>
      <c r="B18" s="8" t="s">
        <v>22</v>
      </c>
    </row>
    <row r="20" customFormat="false" ht="15" hidden="false" customHeight="false" outlineLevel="0" collapsed="false">
      <c r="A20" s="4" t="s">
        <v>23</v>
      </c>
    </row>
    <row r="21" customFormat="false" ht="15" hidden="false" customHeight="false" outlineLevel="0" collapsed="false">
      <c r="A21" s="3" t="s">
        <v>24</v>
      </c>
      <c r="B21" s="3" t="s">
        <v>25</v>
      </c>
    </row>
    <row r="22" customFormat="false" ht="15" hidden="false" customHeight="false" outlineLevel="0" collapsed="false">
      <c r="A22" s="3" t="s">
        <v>26</v>
      </c>
      <c r="B22" s="3" t="s">
        <v>27</v>
      </c>
    </row>
    <row r="23" customFormat="false" ht="15" hidden="false" customHeight="false" outlineLevel="0" collapsed="false">
      <c r="A23" s="3" t="s">
        <v>28</v>
      </c>
      <c r="B23" s="3" t="s">
        <v>29</v>
      </c>
    </row>
    <row r="24" customFormat="false" ht="15" hidden="false" customHeight="false" outlineLevel="0" collapsed="false">
      <c r="A24" s="3" t="s">
        <v>30</v>
      </c>
      <c r="B24" s="3" t="s">
        <v>31</v>
      </c>
    </row>
    <row r="25" customFormat="false" ht="23.85" hidden="false" customHeight="false" outlineLevel="0" collapsed="false">
      <c r="A25" s="3" t="s">
        <v>32</v>
      </c>
      <c r="B25" s="3" t="s">
        <v>33</v>
      </c>
    </row>
    <row r="26" customFormat="false" ht="15" hidden="false" customHeight="false" outlineLevel="0" collapsed="false">
      <c r="A26" s="3" t="s">
        <v>34</v>
      </c>
      <c r="B26" s="3" t="s">
        <v>35</v>
      </c>
    </row>
    <row r="28" customFormat="false" ht="15" hidden="false" customHeight="false" outlineLevel="0" collapsed="false">
      <c r="A28" s="4" t="s">
        <v>36</v>
      </c>
    </row>
    <row r="29" customFormat="false" ht="15" hidden="false" customHeight="false" outlineLevel="0" collapsed="false">
      <c r="A29" s="3" t="s">
        <v>37</v>
      </c>
      <c r="B29" s="3" t="s">
        <v>38</v>
      </c>
    </row>
    <row r="30" customFormat="false" ht="15" hidden="false" customHeight="false" outlineLevel="0" collapsed="false">
      <c r="A30" s="3" t="s">
        <v>39</v>
      </c>
      <c r="B30" s="3" t="s">
        <v>40</v>
      </c>
    </row>
    <row r="31" customFormat="false" ht="15" hidden="false" customHeight="false" outlineLevel="0" collapsed="false">
      <c r="A31" s="3" t="s">
        <v>41</v>
      </c>
      <c r="B31" s="3" t="s">
        <v>42</v>
      </c>
    </row>
    <row r="32" customFormat="false" ht="15" hidden="false" customHeight="false" outlineLevel="0" collapsed="false">
      <c r="A32" s="3" t="s">
        <v>43</v>
      </c>
      <c r="B32" s="3" t="s">
        <v>44</v>
      </c>
    </row>
    <row r="34" customFormat="false" ht="15" hidden="false" customHeight="false" outlineLevel="0" collapsed="false">
      <c r="A34" s="4" t="s">
        <v>45</v>
      </c>
    </row>
    <row r="35" customFormat="false" ht="15" hidden="false" customHeight="false" outlineLevel="0" collapsed="false">
      <c r="A35" s="3" t="s">
        <v>46</v>
      </c>
      <c r="B35" s="3" t="s">
        <v>47</v>
      </c>
    </row>
    <row r="36" customFormat="false" ht="15" hidden="false" customHeight="false" outlineLevel="0" collapsed="false">
      <c r="A36" s="3" t="s">
        <v>48</v>
      </c>
      <c r="B36" s="3" t="s">
        <v>49</v>
      </c>
    </row>
    <row r="37" customFormat="false" ht="15" hidden="false" customHeight="false" outlineLevel="0" collapsed="false">
      <c r="A37" s="3" t="s">
        <v>50</v>
      </c>
      <c r="B37" s="3" t="s">
        <v>51</v>
      </c>
    </row>
    <row r="38" customFormat="false" ht="15" hidden="false" customHeight="false" outlineLevel="0" collapsed="false">
      <c r="A38" s="3" t="s">
        <v>52</v>
      </c>
      <c r="B38" s="3" t="s">
        <v>53</v>
      </c>
    </row>
    <row r="39" customFormat="false" ht="23.85" hidden="false" customHeight="false" outlineLevel="0" collapsed="false">
      <c r="A39" s="3" t="s">
        <v>54</v>
      </c>
      <c r="B39" s="3" t="s">
        <v>55</v>
      </c>
    </row>
    <row r="41" customFormat="false" ht="15" hidden="false" customHeight="false" outlineLevel="0" collapsed="false">
      <c r="A41" s="4" t="s">
        <v>56</v>
      </c>
    </row>
    <row r="42" customFormat="false" ht="46.25" hidden="false" customHeight="false" outlineLevel="0" collapsed="false">
      <c r="A42" s="3" t="s">
        <v>57</v>
      </c>
      <c r="B42" s="3" t="s">
        <v>58</v>
      </c>
    </row>
    <row r="43" customFormat="false" ht="35.05" hidden="false" customHeight="false" outlineLevel="0" collapsed="false">
      <c r="A43" s="3" t="s">
        <v>59</v>
      </c>
      <c r="B43" s="3" t="s">
        <v>60</v>
      </c>
    </row>
    <row r="44" customFormat="false" ht="23.85" hidden="false" customHeight="false" outlineLevel="0" collapsed="false">
      <c r="A44" s="3" t="s">
        <v>61</v>
      </c>
      <c r="B44" s="3" t="s">
        <v>62</v>
      </c>
    </row>
    <row r="45" customFormat="false" ht="15" hidden="false" customHeight="false" outlineLevel="0" collapsed="false">
      <c r="A45" s="3" t="s">
        <v>63</v>
      </c>
      <c r="B45" s="3" t="s">
        <v>64</v>
      </c>
    </row>
    <row r="46" customFormat="false" ht="15" hidden="false" customHeight="false" outlineLevel="0" collapsed="false">
      <c r="A46" s="3" t="s">
        <v>65</v>
      </c>
      <c r="B46" s="3" t="s">
        <v>66</v>
      </c>
    </row>
    <row r="48" customFormat="false" ht="15" hidden="false" customHeight="false" outlineLevel="0" collapsed="false">
      <c r="A48" s="4" t="s">
        <v>67</v>
      </c>
    </row>
    <row r="49" customFormat="false" ht="35.05" hidden="false" customHeight="false" outlineLevel="0" collapsed="false">
      <c r="A49" s="3" t="s">
        <v>68</v>
      </c>
      <c r="B49" s="3" t="s">
        <v>69</v>
      </c>
    </row>
    <row r="50" customFormat="false" ht="23.85" hidden="false" customHeight="false" outlineLevel="0" collapsed="false">
      <c r="A50" s="3" t="s">
        <v>70</v>
      </c>
      <c r="B50" s="3" t="s">
        <v>71</v>
      </c>
    </row>
    <row r="51" customFormat="false" ht="23.85" hidden="false" customHeight="false" outlineLevel="0" collapsed="false">
      <c r="A51" s="3" t="s">
        <v>72</v>
      </c>
      <c r="B51" s="3" t="s">
        <v>73</v>
      </c>
    </row>
    <row r="52" customFormat="false" ht="23.85" hidden="false" customHeight="false" outlineLevel="0" collapsed="false">
      <c r="A52" s="3" t="s">
        <v>74</v>
      </c>
      <c r="B52" s="3" t="s">
        <v>75</v>
      </c>
    </row>
    <row r="53" customFormat="false" ht="23.85" hidden="false" customHeight="false" outlineLevel="0" collapsed="false">
      <c r="A53" s="3" t="s">
        <v>76</v>
      </c>
      <c r="B53" s="3" t="s">
        <v>77</v>
      </c>
    </row>
    <row r="54" customFormat="false" ht="23.85" hidden="false" customHeight="false" outlineLevel="0" collapsed="false">
      <c r="A54" s="3" t="s">
        <v>78</v>
      </c>
      <c r="B54" s="3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5" min="4" style="0" width="15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10" min="9" style="0" width="13"/>
    <col collapsed="false" customWidth="true" hidden="false" outlineLevel="0" max="11" min="11" style="0" width="22"/>
    <col collapsed="false" customWidth="true" hidden="false" outlineLevel="0" max="12" min="12" style="0" width="34"/>
  </cols>
  <sheetData>
    <row r="1" customFormat="false" ht="15" hidden="false" customHeight="false" outlineLevel="0" collapsed="false">
      <c r="A1" s="9" t="s">
        <v>80</v>
      </c>
    </row>
    <row r="2" customFormat="false" ht="15" hidden="false" customHeight="false" outlineLevel="0" collapsed="false">
      <c r="A2" s="10" t="s">
        <v>81</v>
      </c>
    </row>
    <row r="4" customFormat="false" ht="31.5" hidden="false" customHeight="true" outlineLevel="0" collapsed="false">
      <c r="A4" s="11" t="s">
        <v>82</v>
      </c>
      <c r="B4" s="11" t="s">
        <v>83</v>
      </c>
      <c r="C4" s="11" t="s">
        <v>84</v>
      </c>
      <c r="D4" s="11" t="s">
        <v>85</v>
      </c>
      <c r="E4" s="11" t="s">
        <v>86</v>
      </c>
      <c r="F4" s="11" t="s">
        <v>87</v>
      </c>
      <c r="G4" s="11" t="s">
        <v>88</v>
      </c>
      <c r="H4" s="11" t="s">
        <v>89</v>
      </c>
      <c r="I4" s="11" t="s">
        <v>90</v>
      </c>
      <c r="J4" s="11" t="s">
        <v>91</v>
      </c>
      <c r="K4" s="11" t="s">
        <v>92</v>
      </c>
      <c r="L4" s="11" t="s">
        <v>93</v>
      </c>
    </row>
    <row r="5" customFormat="false" ht="15" hidden="false" customHeight="false" outlineLevel="0" collapsed="false">
      <c r="A5" s="12" t="s">
        <v>94</v>
      </c>
      <c r="B5" s="13" t="n">
        <v>2023</v>
      </c>
      <c r="C5" s="14" t="n">
        <v>55.3</v>
      </c>
      <c r="D5" s="14" t="n">
        <v>-86.58</v>
      </c>
      <c r="E5" s="14" t="n">
        <v>-86.58</v>
      </c>
      <c r="F5" s="15"/>
      <c r="G5" s="16" t="n">
        <f aca="false">IF(F5="",1,F5)</f>
        <v>1</v>
      </c>
      <c r="H5" s="17" t="n">
        <f aca="false">COUNTIF('3. Sample Data'!$B$6:$B$53,A5)</f>
        <v>3</v>
      </c>
      <c r="I5" s="18" t="n">
        <f aca="false">SUMIF('3. Sample Data'!$B$6:$B$53,A5,'3. Sample Data'!$F$6:$F$53)</f>
        <v>40</v>
      </c>
      <c r="J5" s="19" t="n">
        <f aca="false">I5*G5</f>
        <v>40</v>
      </c>
      <c r="K5" s="12"/>
      <c r="L5" s="12"/>
    </row>
    <row r="6" customFormat="false" ht="15" hidden="false" customHeight="false" outlineLevel="0" collapsed="false">
      <c r="A6" s="12" t="s">
        <v>95</v>
      </c>
      <c r="B6" s="13" t="n">
        <v>2023</v>
      </c>
      <c r="C6" s="14" t="n">
        <v>55.4</v>
      </c>
      <c r="D6" s="14" t="n">
        <v>-86.46</v>
      </c>
      <c r="E6" s="14" t="n">
        <v>-86.46</v>
      </c>
      <c r="F6" s="15"/>
      <c r="G6" s="16" t="n">
        <f aca="false">IF(F6="",1,F6)</f>
        <v>1</v>
      </c>
      <c r="H6" s="17" t="n">
        <f aca="false">COUNTIF('3. Sample Data'!$B$6:$B$53,A6)</f>
        <v>3</v>
      </c>
      <c r="I6" s="18" t="n">
        <f aca="false">SUMIF('3. Sample Data'!$B$6:$B$53,A6,'3. Sample Data'!$F$6:$F$53)</f>
        <v>40</v>
      </c>
      <c r="J6" s="19" t="n">
        <f aca="false">I6*G6</f>
        <v>40</v>
      </c>
      <c r="K6" s="12"/>
      <c r="L6" s="12"/>
    </row>
    <row r="7" customFormat="false" ht="15" hidden="false" customHeight="false" outlineLevel="0" collapsed="false">
      <c r="A7" s="12" t="s">
        <v>96</v>
      </c>
      <c r="B7" s="13" t="n">
        <v>2023</v>
      </c>
      <c r="C7" s="14" t="n">
        <v>55.28</v>
      </c>
      <c r="D7" s="14" t="n">
        <v>-86.34</v>
      </c>
      <c r="E7" s="14" t="n">
        <v>-86.34</v>
      </c>
      <c r="F7" s="15"/>
      <c r="G7" s="16" t="n">
        <f aca="false">IF(F7="",1,F7)</f>
        <v>1</v>
      </c>
      <c r="H7" s="17" t="n">
        <f aca="false">COUNTIF('3. Sample Data'!$B$6:$B$53,A7)</f>
        <v>3</v>
      </c>
      <c r="I7" s="18" t="n">
        <f aca="false">SUMIF('3. Sample Data'!$B$6:$B$53,A7,'3. Sample Data'!$F$6:$F$53)</f>
        <v>40</v>
      </c>
      <c r="J7" s="19" t="n">
        <f aca="false">I7*G7</f>
        <v>40</v>
      </c>
      <c r="K7" s="12"/>
      <c r="L7" s="12"/>
    </row>
    <row r="8" customFormat="false" ht="15" hidden="false" customHeight="false" outlineLevel="0" collapsed="false">
      <c r="A8" s="12" t="s">
        <v>97</v>
      </c>
      <c r="B8" s="13" t="n">
        <v>2024</v>
      </c>
      <c r="C8" s="14" t="n">
        <v>55.42</v>
      </c>
      <c r="D8" s="14" t="n">
        <v>-86.59</v>
      </c>
      <c r="E8" s="14" t="n">
        <v>-86.59</v>
      </c>
      <c r="F8" s="15"/>
      <c r="G8" s="16" t="n">
        <f aca="false">IF(F8="",1,F8)</f>
        <v>1</v>
      </c>
      <c r="H8" s="17" t="n">
        <f aca="false">COUNTIF('3. Sample Data'!$B$6:$B$53,A8)</f>
        <v>3</v>
      </c>
      <c r="I8" s="18" t="n">
        <f aca="false">SUMIF('3. Sample Data'!$B$6:$B$53,A8,'3. Sample Data'!$F$6:$F$53)</f>
        <v>40</v>
      </c>
      <c r="J8" s="19" t="n">
        <f aca="false">I8*G8</f>
        <v>40</v>
      </c>
      <c r="K8" s="12"/>
      <c r="L8" s="12"/>
    </row>
    <row r="9" customFormat="false" ht="15" hidden="false" customHeight="false" outlineLevel="0" collapsed="false">
      <c r="A9" s="12" t="s">
        <v>98</v>
      </c>
      <c r="B9" s="13" t="n">
        <v>2024</v>
      </c>
      <c r="C9" s="14" t="n">
        <v>55.36</v>
      </c>
      <c r="D9" s="14" t="n">
        <v>-86.53</v>
      </c>
      <c r="E9" s="14" t="n">
        <v>-86.53</v>
      </c>
      <c r="F9" s="15"/>
      <c r="G9" s="16" t="n">
        <f aca="false">IF(F9="",1,F9)</f>
        <v>1</v>
      </c>
      <c r="H9" s="17" t="n">
        <f aca="false">COUNTIF('3. Sample Data'!$B$6:$B$53,A9)</f>
        <v>3</v>
      </c>
      <c r="I9" s="18" t="n">
        <f aca="false">SUMIF('3. Sample Data'!$B$6:$B$53,A9,'3. Sample Data'!$F$6:$F$53)</f>
        <v>40</v>
      </c>
      <c r="J9" s="19" t="n">
        <f aca="false">I9*G9</f>
        <v>40</v>
      </c>
      <c r="K9" s="12"/>
      <c r="L9" s="12"/>
    </row>
    <row r="10" customFormat="false" ht="15" hidden="false" customHeight="false" outlineLevel="0" collapsed="false">
      <c r="A10" s="12" t="s">
        <v>99</v>
      </c>
      <c r="B10" s="13" t="n">
        <v>2024</v>
      </c>
      <c r="C10" s="14" t="n">
        <v>55.26</v>
      </c>
      <c r="D10" s="14" t="n">
        <v>-86.55</v>
      </c>
      <c r="E10" s="14" t="n">
        <v>-86.55</v>
      </c>
      <c r="F10" s="15"/>
      <c r="G10" s="16" t="n">
        <f aca="false">IF(F10="",1,F10)</f>
        <v>1</v>
      </c>
      <c r="H10" s="17" t="n">
        <f aca="false">COUNTIF('3. Sample Data'!$B$6:$B$53,A10)</f>
        <v>3</v>
      </c>
      <c r="I10" s="18" t="n">
        <f aca="false">SUMIF('3. Sample Data'!$B$6:$B$53,A10,'3. Sample Data'!$F$6:$F$53)</f>
        <v>40</v>
      </c>
      <c r="J10" s="19" t="n">
        <f aca="false">I10*G10</f>
        <v>40</v>
      </c>
      <c r="K10" s="12"/>
      <c r="L10" s="12"/>
    </row>
    <row r="11" customFormat="false" ht="15" hidden="false" customHeight="false" outlineLevel="0" collapsed="false">
      <c r="A11" s="12" t="s">
        <v>100</v>
      </c>
      <c r="B11" s="13" t="n">
        <v>2024</v>
      </c>
      <c r="C11" s="14" t="n">
        <v>55.31</v>
      </c>
      <c r="D11" s="14" t="n">
        <v>-86.49</v>
      </c>
      <c r="E11" s="14" t="n">
        <v>-86.49</v>
      </c>
      <c r="F11" s="15"/>
      <c r="G11" s="16" t="n">
        <f aca="false">IF(F11="",1,F11)</f>
        <v>1</v>
      </c>
      <c r="H11" s="17" t="n">
        <f aca="false">COUNTIF('3. Sample Data'!$B$6:$B$53,A11)</f>
        <v>3</v>
      </c>
      <c r="I11" s="18" t="n">
        <f aca="false">SUMIF('3. Sample Data'!$B$6:$B$53,A11,'3. Sample Data'!$F$6:$F$53)</f>
        <v>40</v>
      </c>
      <c r="J11" s="19" t="n">
        <f aca="false">I11*G11</f>
        <v>40</v>
      </c>
      <c r="K11" s="12"/>
      <c r="L11" s="12"/>
    </row>
    <row r="12" customFormat="false" ht="15" hidden="false" customHeight="false" outlineLevel="0" collapsed="false">
      <c r="A12" s="12" t="s">
        <v>101</v>
      </c>
      <c r="B12" s="13" t="n">
        <v>2024</v>
      </c>
      <c r="C12" s="14" t="n">
        <v>55.25</v>
      </c>
      <c r="D12" s="14" t="n">
        <v>-86.44</v>
      </c>
      <c r="E12" s="14" t="n">
        <v>-86.44</v>
      </c>
      <c r="F12" s="15"/>
      <c r="G12" s="16" t="n">
        <f aca="false">IF(F12="",1,F12)</f>
        <v>1</v>
      </c>
      <c r="H12" s="17" t="n">
        <f aca="false">COUNTIF('3. Sample Data'!$B$6:$B$53,A12)</f>
        <v>3</v>
      </c>
      <c r="I12" s="18" t="n">
        <f aca="false">SUMIF('3. Sample Data'!$B$6:$B$53,A12,'3. Sample Data'!$F$6:$F$53)</f>
        <v>40</v>
      </c>
      <c r="J12" s="19" t="n">
        <f aca="false">I12*G12</f>
        <v>40</v>
      </c>
      <c r="K12" s="12"/>
      <c r="L12" s="12"/>
    </row>
    <row r="13" customFormat="false" ht="15" hidden="false" customHeight="false" outlineLevel="0" collapsed="false">
      <c r="A13" s="12" t="s">
        <v>102</v>
      </c>
      <c r="B13" s="13" t="n">
        <v>2024</v>
      </c>
      <c r="C13" s="14" t="n">
        <v>55.44</v>
      </c>
      <c r="D13" s="14" t="n">
        <v>-86.47</v>
      </c>
      <c r="E13" s="14" t="n">
        <v>-86.47</v>
      </c>
      <c r="F13" s="15"/>
      <c r="G13" s="16" t="n">
        <f aca="false">IF(F13="",1,F13)</f>
        <v>1</v>
      </c>
      <c r="H13" s="17" t="n">
        <f aca="false">COUNTIF('3. Sample Data'!$B$6:$B$53,A13)</f>
        <v>3</v>
      </c>
      <c r="I13" s="18" t="n">
        <f aca="false">SUMIF('3. Sample Data'!$B$6:$B$53,A13,'3. Sample Data'!$F$6:$F$53)</f>
        <v>40</v>
      </c>
      <c r="J13" s="19" t="n">
        <f aca="false">I13*G13</f>
        <v>40</v>
      </c>
      <c r="K13" s="12"/>
      <c r="L13" s="12"/>
    </row>
    <row r="14" customFormat="false" ht="15" hidden="false" customHeight="false" outlineLevel="0" collapsed="false">
      <c r="A14" s="12" t="s">
        <v>103</v>
      </c>
      <c r="B14" s="13" t="n">
        <v>2024</v>
      </c>
      <c r="C14" s="14" t="n">
        <v>55.34</v>
      </c>
      <c r="D14" s="14" t="n">
        <v>-86.41</v>
      </c>
      <c r="E14" s="14" t="n">
        <v>-86.41</v>
      </c>
      <c r="F14" s="15"/>
      <c r="G14" s="16" t="n">
        <f aca="false">IF(F14="",1,F14)</f>
        <v>1</v>
      </c>
      <c r="H14" s="17" t="n">
        <f aca="false">COUNTIF('3. Sample Data'!$B$6:$B$53,A14)</f>
        <v>3</v>
      </c>
      <c r="I14" s="18" t="n">
        <f aca="false">SUMIF('3. Sample Data'!$B$6:$B$53,A14,'3. Sample Data'!$F$6:$F$53)</f>
        <v>40</v>
      </c>
      <c r="J14" s="19" t="n">
        <f aca="false">I14*G14</f>
        <v>40</v>
      </c>
      <c r="K14" s="12"/>
      <c r="L14" s="12"/>
    </row>
    <row r="15" customFormat="false" ht="15" hidden="false" customHeight="false" outlineLevel="0" collapsed="false">
      <c r="A15" s="12" t="s">
        <v>104</v>
      </c>
      <c r="B15" s="13" t="n">
        <v>2024</v>
      </c>
      <c r="C15" s="14" t="n">
        <v>55.43</v>
      </c>
      <c r="D15" s="14" t="n">
        <v>-86.39</v>
      </c>
      <c r="E15" s="14" t="n">
        <v>-86.39</v>
      </c>
      <c r="F15" s="15"/>
      <c r="G15" s="16" t="n">
        <f aca="false">IF(F15="",1,F15)</f>
        <v>1</v>
      </c>
      <c r="H15" s="17" t="n">
        <f aca="false">COUNTIF('3. Sample Data'!$B$6:$B$53,A15)</f>
        <v>3</v>
      </c>
      <c r="I15" s="18" t="n">
        <f aca="false">SUMIF('3. Sample Data'!$B$6:$B$53,A15,'3. Sample Data'!$F$6:$F$53)</f>
        <v>40</v>
      </c>
      <c r="J15" s="19" t="n">
        <f aca="false">I15*G15</f>
        <v>40</v>
      </c>
      <c r="K15" s="12"/>
      <c r="L15" s="12"/>
    </row>
    <row r="16" customFormat="false" ht="15" hidden="false" customHeight="false" outlineLevel="0" collapsed="false">
      <c r="A16" s="12" t="s">
        <v>105</v>
      </c>
      <c r="B16" s="13" t="n">
        <v>2024</v>
      </c>
      <c r="C16" s="14" t="n">
        <v>55.38</v>
      </c>
      <c r="D16" s="14" t="n">
        <v>-86.36</v>
      </c>
      <c r="E16" s="14" t="n">
        <v>-86.36</v>
      </c>
      <c r="F16" s="15"/>
      <c r="G16" s="16" t="n">
        <f aca="false">IF(F16="",1,F16)</f>
        <v>1</v>
      </c>
      <c r="H16" s="17" t="n">
        <f aca="false">COUNTIF('3. Sample Data'!$B$6:$B$53,A16)</f>
        <v>3</v>
      </c>
      <c r="I16" s="18" t="n">
        <f aca="false">SUMIF('3. Sample Data'!$B$6:$B$53,A16,'3. Sample Data'!$F$6:$F$53)</f>
        <v>40</v>
      </c>
      <c r="J16" s="19" t="n">
        <f aca="false">I16*G16</f>
        <v>40</v>
      </c>
      <c r="K16" s="12"/>
      <c r="L16" s="12"/>
    </row>
    <row r="17" customFormat="false" ht="15" hidden="false" customHeight="false" outlineLevel="0" collapsed="false">
      <c r="A17" s="12" t="s">
        <v>106</v>
      </c>
      <c r="B17" s="13" t="n">
        <v>2024</v>
      </c>
      <c r="C17" s="14" t="n">
        <v>55.33</v>
      </c>
      <c r="D17" s="14" t="n">
        <v>-86.33</v>
      </c>
      <c r="E17" s="14" t="n">
        <v>-86.33</v>
      </c>
      <c r="F17" s="15"/>
      <c r="G17" s="16" t="n">
        <f aca="false">IF(F17="",1,F17)</f>
        <v>1</v>
      </c>
      <c r="H17" s="17" t="n">
        <f aca="false">COUNTIF('3. Sample Data'!$B$6:$B$53,A17)</f>
        <v>3</v>
      </c>
      <c r="I17" s="18" t="n">
        <f aca="false">SUMIF('3. Sample Data'!$B$6:$B$53,A17,'3. Sample Data'!$F$6:$F$53)</f>
        <v>40</v>
      </c>
      <c r="J17" s="19" t="n">
        <f aca="false">I17*G17</f>
        <v>40</v>
      </c>
      <c r="K17" s="12"/>
      <c r="L17" s="12"/>
    </row>
    <row r="18" customFormat="false" ht="15" hidden="false" customHeight="false" outlineLevel="0" collapsed="false">
      <c r="A18" s="12" t="s">
        <v>107</v>
      </c>
      <c r="B18" s="13" t="n">
        <v>2024</v>
      </c>
      <c r="C18" s="14" t="n">
        <v>55.26</v>
      </c>
      <c r="D18" s="14" t="n">
        <v>-86.37</v>
      </c>
      <c r="E18" s="14" t="n">
        <v>-86.37</v>
      </c>
      <c r="F18" s="15"/>
      <c r="G18" s="16" t="n">
        <f aca="false">IF(F18="",1,F18)</f>
        <v>1</v>
      </c>
      <c r="H18" s="17" t="n">
        <f aca="false">COUNTIF('3. Sample Data'!$B$6:$B$53,A18)</f>
        <v>3</v>
      </c>
      <c r="I18" s="18" t="n">
        <f aca="false">SUMIF('3. Sample Data'!$B$6:$B$53,A18,'3. Sample Data'!$F$6:$F$53)</f>
        <v>40</v>
      </c>
      <c r="J18" s="19" t="n">
        <f aca="false">I18*G18</f>
        <v>40</v>
      </c>
      <c r="K18" s="12"/>
      <c r="L18" s="12"/>
    </row>
    <row r="19" customFormat="false" ht="15" hidden="false" customHeight="false" outlineLevel="0" collapsed="false">
      <c r="A19" s="12" t="s">
        <v>108</v>
      </c>
      <c r="B19" s="13" t="n">
        <v>2024</v>
      </c>
      <c r="C19" s="14" t="n">
        <v>55.42</v>
      </c>
      <c r="D19" s="14" t="n">
        <v>-86.32</v>
      </c>
      <c r="E19" s="14" t="n">
        <v>-86.32</v>
      </c>
      <c r="F19" s="15"/>
      <c r="G19" s="16" t="n">
        <f aca="false">IF(F19="",1,F19)</f>
        <v>1</v>
      </c>
      <c r="H19" s="17" t="n">
        <f aca="false">COUNTIF('3. Sample Data'!$B$6:$B$53,A19)</f>
        <v>3</v>
      </c>
      <c r="I19" s="18" t="n">
        <f aca="false">SUMIF('3. Sample Data'!$B$6:$B$53,A19,'3. Sample Data'!$F$6:$F$53)</f>
        <v>40</v>
      </c>
      <c r="J19" s="19" t="n">
        <f aca="false">I19*G19</f>
        <v>40</v>
      </c>
      <c r="K19" s="12"/>
      <c r="L19" s="12"/>
    </row>
    <row r="20" customFormat="false" ht="15" hidden="false" customHeight="false" outlineLevel="0" collapsed="false">
      <c r="A20" s="12" t="s">
        <v>109</v>
      </c>
      <c r="B20" s="13" t="n">
        <v>2024</v>
      </c>
      <c r="C20" s="14" t="n">
        <v>55.45</v>
      </c>
      <c r="D20" s="14" t="n">
        <v>-86.51</v>
      </c>
      <c r="E20" s="14" t="n">
        <v>-86.51</v>
      </c>
      <c r="F20" s="15"/>
      <c r="G20" s="16" t="n">
        <f aca="false">IF(F20="",1,F20)</f>
        <v>1</v>
      </c>
      <c r="H20" s="17" t="n">
        <f aca="false">COUNTIF('3. Sample Data'!$B$6:$B$53,A20)</f>
        <v>3</v>
      </c>
      <c r="I20" s="18" t="n">
        <f aca="false">SUMIF('3. Sample Data'!$B$6:$B$53,A20,'3. Sample Data'!$F$6:$F$53)</f>
        <v>40</v>
      </c>
      <c r="J20" s="19" t="n">
        <f aca="false">I20*G20</f>
        <v>40</v>
      </c>
      <c r="K20" s="12"/>
      <c r="L20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9" min="7" style="0" width="11"/>
    <col collapsed="false" customWidth="true" hidden="false" outlineLevel="0" max="10" min="10" style="0" width="10"/>
    <col collapsed="false" customWidth="true" hidden="false" outlineLevel="0" max="12" min="11" style="0" width="11"/>
    <col collapsed="false" customWidth="true" hidden="false" outlineLevel="0" max="13" min="13" style="0" width="12"/>
    <col collapsed="false" customWidth="true" hidden="false" outlineLevel="0" max="14" min="14" style="0" width="11"/>
    <col collapsed="false" customWidth="true" hidden="false" outlineLevel="0" max="15" min="15" style="0" width="12"/>
    <col collapsed="false" customWidth="true" hidden="false" outlineLevel="0" max="16" min="16" style="0" width="11"/>
    <col collapsed="false" customWidth="true" hidden="false" outlineLevel="0" max="17" min="17" style="0" width="12"/>
    <col collapsed="false" customWidth="true" hidden="false" outlineLevel="0" max="20" min="18" style="0" width="11"/>
    <col collapsed="false" customWidth="true" hidden="false" outlineLevel="0" max="24" min="21" style="0" width="10"/>
    <col collapsed="false" customWidth="true" hidden="false" outlineLevel="0" max="26" min="25" style="0" width="12"/>
  </cols>
  <sheetData>
    <row r="1" customFormat="false" ht="15" hidden="false" customHeight="false" outlineLevel="0" collapsed="false">
      <c r="A1" s="9" t="s">
        <v>110</v>
      </c>
    </row>
    <row r="2" customFormat="false" ht="15" hidden="false" customHeight="false" outlineLevel="0" collapsed="false">
      <c r="A2" s="20" t="s">
        <v>111</v>
      </c>
      <c r="C2" s="21" t="n">
        <v>0.58</v>
      </c>
      <c r="D2" s="10" t="s">
        <v>112</v>
      </c>
    </row>
    <row r="3" customFormat="false" ht="15" hidden="false" customHeight="false" outlineLevel="0" collapsed="false">
      <c r="A3" s="10" t="s">
        <v>113</v>
      </c>
    </row>
    <row r="4" customFormat="false" ht="15" hidden="false" customHeight="true" outlineLevel="0" collapsed="false">
      <c r="A4" s="22" t="s">
        <v>24</v>
      </c>
      <c r="B4" s="22"/>
      <c r="C4" s="22"/>
      <c r="D4" s="22"/>
      <c r="E4" s="22"/>
      <c r="F4" s="22"/>
      <c r="G4" s="22"/>
      <c r="H4" s="22" t="s">
        <v>26</v>
      </c>
      <c r="I4" s="22"/>
      <c r="J4" s="22"/>
      <c r="K4" s="22"/>
      <c r="L4" s="22"/>
      <c r="M4" s="22" t="s">
        <v>28</v>
      </c>
      <c r="N4" s="22"/>
      <c r="O4" s="22"/>
      <c r="P4" s="22" t="s">
        <v>30</v>
      </c>
      <c r="Q4" s="22"/>
      <c r="R4" s="22"/>
      <c r="S4" s="22"/>
      <c r="T4" s="22"/>
      <c r="U4" s="22" t="s">
        <v>114</v>
      </c>
      <c r="V4" s="22"/>
      <c r="W4" s="22"/>
      <c r="X4" s="22"/>
      <c r="Y4" s="22" t="s">
        <v>115</v>
      </c>
      <c r="Z4" s="22"/>
    </row>
    <row r="5" customFormat="false" ht="45.75" hidden="false" customHeight="true" outlineLevel="0" collapsed="false">
      <c r="A5" s="11" t="s">
        <v>83</v>
      </c>
      <c r="B5" s="11" t="s">
        <v>82</v>
      </c>
      <c r="C5" s="11" t="s">
        <v>116</v>
      </c>
      <c r="D5" s="11" t="s">
        <v>84</v>
      </c>
      <c r="E5" s="11" t="s">
        <v>85</v>
      </c>
      <c r="F5" s="11" t="s">
        <v>117</v>
      </c>
      <c r="G5" s="11" t="s">
        <v>118</v>
      </c>
      <c r="H5" s="11" t="s">
        <v>119</v>
      </c>
      <c r="I5" s="11" t="s">
        <v>120</v>
      </c>
      <c r="J5" s="11" t="s">
        <v>121</v>
      </c>
      <c r="K5" s="11" t="s">
        <v>122</v>
      </c>
      <c r="L5" s="11" t="s">
        <v>123</v>
      </c>
      <c r="M5" s="11" t="s">
        <v>124</v>
      </c>
      <c r="N5" s="11" t="s">
        <v>125</v>
      </c>
      <c r="O5" s="11" t="s">
        <v>126</v>
      </c>
      <c r="P5" s="11" t="s">
        <v>127</v>
      </c>
      <c r="Q5" s="11" t="s">
        <v>37</v>
      </c>
      <c r="R5" s="11" t="s">
        <v>39</v>
      </c>
      <c r="S5" s="11" t="s">
        <v>128</v>
      </c>
      <c r="T5" s="11" t="s">
        <v>129</v>
      </c>
      <c r="U5" s="11" t="s">
        <v>130</v>
      </c>
      <c r="V5" s="11" t="s">
        <v>131</v>
      </c>
      <c r="W5" s="11" t="s">
        <v>132</v>
      </c>
      <c r="X5" s="11" t="s">
        <v>133</v>
      </c>
      <c r="Y5" s="11" t="s">
        <v>134</v>
      </c>
      <c r="Z5" s="11" t="s">
        <v>135</v>
      </c>
    </row>
    <row r="6" customFormat="false" ht="15" hidden="false" customHeight="false" outlineLevel="0" collapsed="false">
      <c r="A6" s="13" t="n">
        <v>2023</v>
      </c>
      <c r="B6" s="12" t="s">
        <v>94</v>
      </c>
      <c r="C6" s="12" t="s">
        <v>136</v>
      </c>
      <c r="D6" s="14" t="n">
        <v>55.3</v>
      </c>
      <c r="E6" s="14" t="n">
        <v>-86.58</v>
      </c>
      <c r="F6" s="15" t="n">
        <v>10</v>
      </c>
      <c r="G6" s="21" t="n">
        <v>0</v>
      </c>
      <c r="H6" s="19" t="n">
        <v>0</v>
      </c>
      <c r="I6" s="19" t="n">
        <f aca="false">H6+F6</f>
        <v>10</v>
      </c>
      <c r="J6" s="23" t="n">
        <f aca="false">IFERROR(INDEX('2. Core Log'!$G$5:$G$20,MATCH(B6,'2. Core Log'!$A$5:$A$20,0)),1)</f>
        <v>1</v>
      </c>
      <c r="K6" s="19" t="n">
        <f aca="false">H6*J6</f>
        <v>0</v>
      </c>
      <c r="L6" s="19" t="n">
        <f aca="false">I6*J6</f>
        <v>10</v>
      </c>
      <c r="M6" s="24" t="n">
        <v>0.8</v>
      </c>
      <c r="N6" s="21" t="n">
        <v>5.17</v>
      </c>
      <c r="O6" s="21" t="n">
        <v>3</v>
      </c>
      <c r="P6" s="19" t="n">
        <f aca="false">IF(O6="",N6*$C$2,O6)</f>
        <v>3</v>
      </c>
      <c r="Q6" s="25" t="n">
        <f aca="false">M6*P6/100*(1-G6)</f>
        <v>0.024</v>
      </c>
      <c r="R6" s="26" t="n">
        <f aca="false">Q6*F6</f>
        <v>0.24</v>
      </c>
      <c r="S6" s="16" t="n">
        <f aca="false">R6*10</f>
        <v>2.4</v>
      </c>
      <c r="T6" s="19" t="n">
        <f aca="false">S6*10</f>
        <v>24</v>
      </c>
      <c r="U6" s="16" t="n">
        <f aca="false">MAX(0,MIN($L6,15)-MAX($K6,0))*$Q6*10</f>
        <v>2.4</v>
      </c>
      <c r="V6" s="16" t="n">
        <f aca="false">MAX(0,MIN($L6,30)-MAX($K6,15))*$Q6*10</f>
        <v>0</v>
      </c>
      <c r="W6" s="16" t="n">
        <f aca="false">MAX(0,MIN($L6,50)-MAX($K6,30))*$Q6*10</f>
        <v>0</v>
      </c>
      <c r="X6" s="16" t="n">
        <f aca="false">MAX(0,MIN($L6,100)-MAX($K6,50))*$Q6*10</f>
        <v>0</v>
      </c>
      <c r="Y6" s="14" t="n">
        <v>0.024</v>
      </c>
      <c r="Z6" s="27" t="n">
        <f aca="false">Q6-Y6</f>
        <v>0</v>
      </c>
    </row>
    <row r="7" customFormat="false" ht="15" hidden="false" customHeight="false" outlineLevel="0" collapsed="false">
      <c r="A7" s="13" t="n">
        <v>2023</v>
      </c>
      <c r="B7" s="12" t="s">
        <v>94</v>
      </c>
      <c r="C7" s="12" t="s">
        <v>137</v>
      </c>
      <c r="D7" s="14" t="n">
        <v>55.3</v>
      </c>
      <c r="E7" s="14" t="n">
        <v>-86.58</v>
      </c>
      <c r="F7" s="15" t="n">
        <v>15</v>
      </c>
      <c r="G7" s="21" t="n">
        <v>0</v>
      </c>
      <c r="H7" s="19" t="n">
        <f aca="false">I6</f>
        <v>10</v>
      </c>
      <c r="I7" s="19" t="n">
        <f aca="false">H7+F7</f>
        <v>25</v>
      </c>
      <c r="J7" s="23" t="n">
        <f aca="false">IFERROR(INDEX('2. Core Log'!$G$5:$G$20,MATCH(B7,'2. Core Log'!$A$5:$A$20,0)),1)</f>
        <v>1</v>
      </c>
      <c r="K7" s="19" t="n">
        <f aca="false">H7*J7</f>
        <v>10</v>
      </c>
      <c r="L7" s="19" t="n">
        <f aca="false">I7*J7</f>
        <v>25</v>
      </c>
      <c r="M7" s="24" t="n">
        <v>1</v>
      </c>
      <c r="N7" s="21" t="n">
        <v>3.45</v>
      </c>
      <c r="O7" s="21" t="n">
        <v>2</v>
      </c>
      <c r="P7" s="19" t="n">
        <f aca="false">IF(O7="",N7*$C$2,O7)</f>
        <v>2</v>
      </c>
      <c r="Q7" s="25" t="n">
        <f aca="false">M7*P7/100*(1-G7)</f>
        <v>0.02</v>
      </c>
      <c r="R7" s="26" t="n">
        <f aca="false">Q7*F7</f>
        <v>0.3</v>
      </c>
      <c r="S7" s="16" t="n">
        <f aca="false">R7*10</f>
        <v>3</v>
      </c>
      <c r="T7" s="19" t="n">
        <f aca="false">S7*10</f>
        <v>30</v>
      </c>
      <c r="U7" s="16" t="n">
        <f aca="false">MAX(0,MIN($L7,15)-MAX($K7,0))*$Q7*10</f>
        <v>1</v>
      </c>
      <c r="V7" s="16" t="n">
        <f aca="false">MAX(0,MIN($L7,30)-MAX($K7,15))*$Q7*10</f>
        <v>2</v>
      </c>
      <c r="W7" s="16" t="n">
        <f aca="false">MAX(0,MIN($L7,50)-MAX($K7,30))*$Q7*10</f>
        <v>0</v>
      </c>
      <c r="X7" s="16" t="n">
        <f aca="false">MAX(0,MIN($L7,100)-MAX($K7,50))*$Q7*10</f>
        <v>0</v>
      </c>
      <c r="Y7" s="14" t="n">
        <v>0.02</v>
      </c>
      <c r="Z7" s="27" t="n">
        <f aca="false">Q7-Y7</f>
        <v>0</v>
      </c>
    </row>
    <row r="8" customFormat="false" ht="15" hidden="false" customHeight="false" outlineLevel="0" collapsed="false">
      <c r="A8" s="13" t="n">
        <v>2023</v>
      </c>
      <c r="B8" s="12" t="s">
        <v>94</v>
      </c>
      <c r="C8" s="12" t="s">
        <v>138</v>
      </c>
      <c r="D8" s="14" t="n">
        <v>55.3</v>
      </c>
      <c r="E8" s="14" t="n">
        <v>-86.58</v>
      </c>
      <c r="F8" s="15" t="n">
        <v>15</v>
      </c>
      <c r="G8" s="21" t="n">
        <v>0</v>
      </c>
      <c r="H8" s="19" t="n">
        <f aca="false">I7</f>
        <v>25</v>
      </c>
      <c r="I8" s="19" t="n">
        <f aca="false">H8+F8</f>
        <v>40</v>
      </c>
      <c r="J8" s="23" t="n">
        <f aca="false">IFERROR(INDEX('2. Core Log'!$G$5:$G$20,MATCH(B8,'2. Core Log'!$A$5:$A$20,0)),1)</f>
        <v>1</v>
      </c>
      <c r="K8" s="19" t="n">
        <f aca="false">H8*J8</f>
        <v>25</v>
      </c>
      <c r="L8" s="19" t="n">
        <f aca="false">I8*J8</f>
        <v>40</v>
      </c>
      <c r="M8" s="24" t="n">
        <v>1.2</v>
      </c>
      <c r="N8" s="21" t="n">
        <v>1.72</v>
      </c>
      <c r="O8" s="21" t="n">
        <v>1</v>
      </c>
      <c r="P8" s="19" t="n">
        <f aca="false">IF(O8="",N8*$C$2,O8)</f>
        <v>1</v>
      </c>
      <c r="Q8" s="25" t="n">
        <f aca="false">M8*P8/100*(1-G8)</f>
        <v>0.012</v>
      </c>
      <c r="R8" s="26" t="n">
        <f aca="false">Q8*F8</f>
        <v>0.18</v>
      </c>
      <c r="S8" s="16" t="n">
        <f aca="false">R8*10</f>
        <v>1.8</v>
      </c>
      <c r="T8" s="19" t="n">
        <f aca="false">S8*10</f>
        <v>18</v>
      </c>
      <c r="U8" s="16" t="n">
        <f aca="false">MAX(0,MIN($L8,15)-MAX($K8,0))*$Q8*10</f>
        <v>0</v>
      </c>
      <c r="V8" s="16" t="n">
        <f aca="false">MAX(0,MIN($L8,30)-MAX($K8,15))*$Q8*10</f>
        <v>0.6</v>
      </c>
      <c r="W8" s="16" t="n">
        <f aca="false">MAX(0,MIN($L8,50)-MAX($K8,30))*$Q8*10</f>
        <v>1.2</v>
      </c>
      <c r="X8" s="16" t="n">
        <f aca="false">MAX(0,MIN($L8,100)-MAX($K8,50))*$Q8*10</f>
        <v>0</v>
      </c>
      <c r="Y8" s="14" t="n">
        <v>0.012</v>
      </c>
      <c r="Z8" s="27" t="n">
        <f aca="false">Q8-Y8</f>
        <v>0</v>
      </c>
    </row>
    <row r="9" customFormat="false" ht="15" hidden="false" customHeight="false" outlineLevel="0" collapsed="false">
      <c r="A9" s="13" t="n">
        <v>2023</v>
      </c>
      <c r="B9" s="12" t="s">
        <v>95</v>
      </c>
      <c r="C9" s="12" t="s">
        <v>139</v>
      </c>
      <c r="D9" s="14" t="n">
        <v>55.4</v>
      </c>
      <c r="E9" s="14" t="n">
        <v>-86.46</v>
      </c>
      <c r="F9" s="15" t="n">
        <v>10</v>
      </c>
      <c r="G9" s="21" t="n">
        <v>0</v>
      </c>
      <c r="H9" s="19" t="n">
        <v>0</v>
      </c>
      <c r="I9" s="19" t="n">
        <f aca="false">H9+F9</f>
        <v>10</v>
      </c>
      <c r="J9" s="23" t="n">
        <f aca="false">IFERROR(INDEX('2. Core Log'!$G$5:$G$20,MATCH(B9,'2. Core Log'!$A$5:$A$20,0)),1)</f>
        <v>1</v>
      </c>
      <c r="K9" s="19" t="n">
        <f aca="false">H9*J9</f>
        <v>0</v>
      </c>
      <c r="L9" s="19" t="n">
        <f aca="false">I9*J9</f>
        <v>10</v>
      </c>
      <c r="M9" s="24" t="n">
        <v>0.6</v>
      </c>
      <c r="N9" s="21" t="n">
        <v>16.38</v>
      </c>
      <c r="O9" s="21" t="n">
        <v>9.5</v>
      </c>
      <c r="P9" s="19" t="n">
        <f aca="false">IF(O9="",N9*$C$2,O9)</f>
        <v>9.5</v>
      </c>
      <c r="Q9" s="25" t="n">
        <f aca="false">M9*P9/100*(1-G9)</f>
        <v>0.057</v>
      </c>
      <c r="R9" s="26" t="n">
        <f aca="false">Q9*F9</f>
        <v>0.57</v>
      </c>
      <c r="S9" s="16" t="n">
        <f aca="false">R9*10</f>
        <v>5.7</v>
      </c>
      <c r="T9" s="19" t="n">
        <f aca="false">S9*10</f>
        <v>57</v>
      </c>
      <c r="U9" s="16" t="n">
        <f aca="false">MAX(0,MIN($L9,15)-MAX($K9,0))*$Q9*10</f>
        <v>5.7</v>
      </c>
      <c r="V9" s="16" t="n">
        <f aca="false">MAX(0,MIN($L9,30)-MAX($K9,15))*$Q9*10</f>
        <v>0</v>
      </c>
      <c r="W9" s="16" t="n">
        <f aca="false">MAX(0,MIN($L9,50)-MAX($K9,30))*$Q9*10</f>
        <v>0</v>
      </c>
      <c r="X9" s="16" t="n">
        <f aca="false">MAX(0,MIN($L9,100)-MAX($K9,50))*$Q9*10</f>
        <v>0</v>
      </c>
      <c r="Y9" s="14" t="n">
        <v>0.057</v>
      </c>
      <c r="Z9" s="27" t="n">
        <f aca="false">Q9-Y9</f>
        <v>0</v>
      </c>
    </row>
    <row r="10" customFormat="false" ht="15" hidden="false" customHeight="false" outlineLevel="0" collapsed="false">
      <c r="A10" s="13" t="n">
        <v>2023</v>
      </c>
      <c r="B10" s="12" t="s">
        <v>95</v>
      </c>
      <c r="C10" s="12" t="s">
        <v>140</v>
      </c>
      <c r="D10" s="14" t="n">
        <v>55.4</v>
      </c>
      <c r="E10" s="14" t="n">
        <v>-86.46</v>
      </c>
      <c r="F10" s="15" t="n">
        <v>15</v>
      </c>
      <c r="G10" s="21" t="n">
        <v>0</v>
      </c>
      <c r="H10" s="19" t="n">
        <f aca="false">I9</f>
        <v>10</v>
      </c>
      <c r="I10" s="19" t="n">
        <f aca="false">H10+F10</f>
        <v>25</v>
      </c>
      <c r="J10" s="23" t="n">
        <f aca="false">IFERROR(INDEX('2. Core Log'!$G$5:$G$20,MATCH(B10,'2. Core Log'!$A$5:$A$20,0)),1)</f>
        <v>1</v>
      </c>
      <c r="K10" s="19" t="n">
        <f aca="false">H10*J10</f>
        <v>10</v>
      </c>
      <c r="L10" s="19" t="n">
        <f aca="false">I10*J10</f>
        <v>25</v>
      </c>
      <c r="M10" s="24" t="n">
        <v>0.8</v>
      </c>
      <c r="N10" s="21" t="n">
        <v>12.5</v>
      </c>
      <c r="O10" s="21" t="n">
        <v>7.25</v>
      </c>
      <c r="P10" s="19" t="n">
        <f aca="false">IF(O10="",N10*$C$2,O10)</f>
        <v>7.25</v>
      </c>
      <c r="Q10" s="25" t="n">
        <f aca="false">M10*P10/100*(1-G10)</f>
        <v>0.058</v>
      </c>
      <c r="R10" s="26" t="n">
        <f aca="false">Q10*F10</f>
        <v>0.87</v>
      </c>
      <c r="S10" s="16" t="n">
        <f aca="false">R10*10</f>
        <v>8.7</v>
      </c>
      <c r="T10" s="19" t="n">
        <f aca="false">S10*10</f>
        <v>87</v>
      </c>
      <c r="U10" s="16" t="n">
        <f aca="false">MAX(0,MIN($L10,15)-MAX($K10,0))*$Q10*10</f>
        <v>2.9</v>
      </c>
      <c r="V10" s="16" t="n">
        <f aca="false">MAX(0,MIN($L10,30)-MAX($K10,15))*$Q10*10</f>
        <v>5.8</v>
      </c>
      <c r="W10" s="16" t="n">
        <f aca="false">MAX(0,MIN($L10,50)-MAX($K10,30))*$Q10*10</f>
        <v>0</v>
      </c>
      <c r="X10" s="16" t="n">
        <f aca="false">MAX(0,MIN($L10,100)-MAX($K10,50))*$Q10*10</f>
        <v>0</v>
      </c>
      <c r="Y10" s="14" t="n">
        <v>0.058</v>
      </c>
      <c r="Z10" s="27" t="n">
        <f aca="false">Q10-Y10</f>
        <v>0</v>
      </c>
    </row>
    <row r="11" customFormat="false" ht="15" hidden="false" customHeight="false" outlineLevel="0" collapsed="false">
      <c r="A11" s="13" t="n">
        <v>2023</v>
      </c>
      <c r="B11" s="12" t="s">
        <v>95</v>
      </c>
      <c r="C11" s="12" t="s">
        <v>141</v>
      </c>
      <c r="D11" s="14" t="n">
        <v>55.4</v>
      </c>
      <c r="E11" s="14" t="n">
        <v>-86.46</v>
      </c>
      <c r="F11" s="15" t="n">
        <v>15</v>
      </c>
      <c r="G11" s="21" t="n">
        <v>0</v>
      </c>
      <c r="H11" s="19" t="n">
        <f aca="false">I10</f>
        <v>25</v>
      </c>
      <c r="I11" s="19" t="n">
        <f aca="false">H11+F11</f>
        <v>40</v>
      </c>
      <c r="J11" s="23" t="n">
        <f aca="false">IFERROR(INDEX('2. Core Log'!$G$5:$G$20,MATCH(B11,'2. Core Log'!$A$5:$A$20,0)),1)</f>
        <v>1</v>
      </c>
      <c r="K11" s="19" t="n">
        <f aca="false">H11*J11</f>
        <v>25</v>
      </c>
      <c r="L11" s="19" t="n">
        <f aca="false">I11*J11</f>
        <v>40</v>
      </c>
      <c r="M11" s="24" t="n">
        <v>1</v>
      </c>
      <c r="N11" s="21" t="n">
        <v>2.07</v>
      </c>
      <c r="O11" s="21" t="n">
        <v>1.2</v>
      </c>
      <c r="P11" s="19" t="n">
        <f aca="false">IF(O11="",N11*$C$2,O11)</f>
        <v>1.2</v>
      </c>
      <c r="Q11" s="25" t="n">
        <f aca="false">M11*P11/100*(1-G11)</f>
        <v>0.012</v>
      </c>
      <c r="R11" s="26" t="n">
        <f aca="false">Q11*F11</f>
        <v>0.18</v>
      </c>
      <c r="S11" s="16" t="n">
        <f aca="false">R11*10</f>
        <v>1.8</v>
      </c>
      <c r="T11" s="19" t="n">
        <f aca="false">S11*10</f>
        <v>18</v>
      </c>
      <c r="U11" s="16" t="n">
        <f aca="false">MAX(0,MIN($L11,15)-MAX($K11,0))*$Q11*10</f>
        <v>0</v>
      </c>
      <c r="V11" s="16" t="n">
        <f aca="false">MAX(0,MIN($L11,30)-MAX($K11,15))*$Q11*10</f>
        <v>0.6</v>
      </c>
      <c r="W11" s="16" t="n">
        <f aca="false">MAX(0,MIN($L11,50)-MAX($K11,30))*$Q11*10</f>
        <v>1.2</v>
      </c>
      <c r="X11" s="16" t="n">
        <f aca="false">MAX(0,MIN($L11,100)-MAX($K11,50))*$Q11*10</f>
        <v>0</v>
      </c>
      <c r="Y11" s="14" t="n">
        <v>0.012</v>
      </c>
      <c r="Z11" s="27" t="n">
        <f aca="false">Q11-Y11</f>
        <v>0</v>
      </c>
    </row>
    <row r="12" customFormat="false" ht="15" hidden="false" customHeight="false" outlineLevel="0" collapsed="false">
      <c r="A12" s="13" t="n">
        <v>2023</v>
      </c>
      <c r="B12" s="12" t="s">
        <v>96</v>
      </c>
      <c r="C12" s="12" t="s">
        <v>142</v>
      </c>
      <c r="D12" s="14" t="n">
        <v>55.28</v>
      </c>
      <c r="E12" s="14" t="n">
        <v>-86.34</v>
      </c>
      <c r="F12" s="15" t="n">
        <v>10</v>
      </c>
      <c r="G12" s="21" t="n">
        <v>0</v>
      </c>
      <c r="H12" s="19" t="n">
        <v>0</v>
      </c>
      <c r="I12" s="19" t="n">
        <f aca="false">H12+F12</f>
        <v>10</v>
      </c>
      <c r="J12" s="23" t="n">
        <f aca="false">IFERROR(INDEX('2. Core Log'!$G$5:$G$20,MATCH(B12,'2. Core Log'!$A$5:$A$20,0)),1)</f>
        <v>1</v>
      </c>
      <c r="K12" s="19" t="n">
        <f aca="false">H12*J12</f>
        <v>0</v>
      </c>
      <c r="L12" s="19" t="n">
        <f aca="false">I12*J12</f>
        <v>10</v>
      </c>
      <c r="M12" s="24" t="n">
        <v>0.75</v>
      </c>
      <c r="N12" s="21" t="n">
        <v>21.38</v>
      </c>
      <c r="O12" s="21" t="n">
        <v>12.4</v>
      </c>
      <c r="P12" s="19" t="n">
        <f aca="false">IF(O12="",N12*$C$2,O12)</f>
        <v>12.4</v>
      </c>
      <c r="Q12" s="25" t="n">
        <f aca="false">M12*P12/100*(1-G12)</f>
        <v>0.093</v>
      </c>
      <c r="R12" s="26" t="n">
        <f aca="false">Q12*F12</f>
        <v>0.93</v>
      </c>
      <c r="S12" s="16" t="n">
        <f aca="false">R12*10</f>
        <v>9.3</v>
      </c>
      <c r="T12" s="19" t="n">
        <f aca="false">S12*10</f>
        <v>93</v>
      </c>
      <c r="U12" s="16" t="n">
        <f aca="false">MAX(0,MIN($L12,15)-MAX($K12,0))*$Q12*10</f>
        <v>9.3</v>
      </c>
      <c r="V12" s="16" t="n">
        <f aca="false">MAX(0,MIN($L12,30)-MAX($K12,15))*$Q12*10</f>
        <v>0</v>
      </c>
      <c r="W12" s="16" t="n">
        <f aca="false">MAX(0,MIN($L12,50)-MAX($K12,30))*$Q12*10</f>
        <v>0</v>
      </c>
      <c r="X12" s="16" t="n">
        <f aca="false">MAX(0,MIN($L12,100)-MAX($K12,50))*$Q12*10</f>
        <v>0</v>
      </c>
      <c r="Y12" s="14" t="n">
        <v>0.093</v>
      </c>
      <c r="Z12" s="27" t="n">
        <f aca="false">Q12-Y12</f>
        <v>0</v>
      </c>
    </row>
    <row r="13" customFormat="false" ht="15" hidden="false" customHeight="false" outlineLevel="0" collapsed="false">
      <c r="A13" s="13" t="n">
        <v>2023</v>
      </c>
      <c r="B13" s="12" t="s">
        <v>96</v>
      </c>
      <c r="C13" s="12" t="s">
        <v>143</v>
      </c>
      <c r="D13" s="14" t="n">
        <v>55.28</v>
      </c>
      <c r="E13" s="14" t="n">
        <v>-86.34</v>
      </c>
      <c r="F13" s="15" t="n">
        <v>15</v>
      </c>
      <c r="G13" s="21" t="n">
        <v>0</v>
      </c>
      <c r="H13" s="19" t="n">
        <f aca="false">I12</f>
        <v>10</v>
      </c>
      <c r="I13" s="19" t="n">
        <f aca="false">H13+F13</f>
        <v>25</v>
      </c>
      <c r="J13" s="23" t="n">
        <f aca="false">IFERROR(INDEX('2. Core Log'!$G$5:$G$20,MATCH(B13,'2. Core Log'!$A$5:$A$20,0)),1)</f>
        <v>1</v>
      </c>
      <c r="K13" s="19" t="n">
        <f aca="false">H13*J13</f>
        <v>10</v>
      </c>
      <c r="L13" s="19" t="n">
        <f aca="false">I13*J13</f>
        <v>25</v>
      </c>
      <c r="M13" s="24" t="n">
        <v>1.25</v>
      </c>
      <c r="N13" s="21" t="n">
        <v>12.96</v>
      </c>
      <c r="O13" s="21" t="n">
        <v>7.52</v>
      </c>
      <c r="P13" s="19" t="n">
        <f aca="false">IF(O13="",N13*$C$2,O13)</f>
        <v>7.52</v>
      </c>
      <c r="Q13" s="25" t="n">
        <f aca="false">M13*P13/100*(1-G13)</f>
        <v>0.094</v>
      </c>
      <c r="R13" s="26" t="n">
        <f aca="false">Q13*F13</f>
        <v>1.41</v>
      </c>
      <c r="S13" s="16" t="n">
        <f aca="false">R13*10</f>
        <v>14.1</v>
      </c>
      <c r="T13" s="19" t="n">
        <f aca="false">S13*10</f>
        <v>141</v>
      </c>
      <c r="U13" s="16" t="n">
        <f aca="false">MAX(0,MIN($L13,15)-MAX($K13,0))*$Q13*10</f>
        <v>4.7</v>
      </c>
      <c r="V13" s="16" t="n">
        <f aca="false">MAX(0,MIN($L13,30)-MAX($K13,15))*$Q13*10</f>
        <v>9.4</v>
      </c>
      <c r="W13" s="16" t="n">
        <f aca="false">MAX(0,MIN($L13,50)-MAX($K13,30))*$Q13*10</f>
        <v>0</v>
      </c>
      <c r="X13" s="16" t="n">
        <f aca="false">MAX(0,MIN($L13,100)-MAX($K13,50))*$Q13*10</f>
        <v>0</v>
      </c>
      <c r="Y13" s="14" t="n">
        <v>0.094</v>
      </c>
      <c r="Z13" s="27" t="n">
        <f aca="false">Q13-Y13</f>
        <v>0</v>
      </c>
    </row>
    <row r="14" customFormat="false" ht="15" hidden="false" customHeight="false" outlineLevel="0" collapsed="false">
      <c r="A14" s="13" t="n">
        <v>2023</v>
      </c>
      <c r="B14" s="12" t="s">
        <v>96</v>
      </c>
      <c r="C14" s="12" t="s">
        <v>144</v>
      </c>
      <c r="D14" s="14" t="n">
        <v>55.28</v>
      </c>
      <c r="E14" s="14" t="n">
        <v>-86.34</v>
      </c>
      <c r="F14" s="15" t="n">
        <v>15</v>
      </c>
      <c r="G14" s="21" t="n">
        <v>0</v>
      </c>
      <c r="H14" s="19" t="n">
        <f aca="false">I13</f>
        <v>25</v>
      </c>
      <c r="I14" s="19" t="n">
        <f aca="false">H14+F14</f>
        <v>40</v>
      </c>
      <c r="J14" s="23" t="n">
        <f aca="false">IFERROR(INDEX('2. Core Log'!$G$5:$G$20,MATCH(B14,'2. Core Log'!$A$5:$A$20,0)),1)</f>
        <v>1</v>
      </c>
      <c r="K14" s="19" t="n">
        <f aca="false">H14*J14</f>
        <v>25</v>
      </c>
      <c r="L14" s="19" t="n">
        <f aca="false">I14*J14</f>
        <v>40</v>
      </c>
      <c r="M14" s="24" t="n">
        <v>0.8</v>
      </c>
      <c r="N14" s="21" t="n">
        <v>2.59</v>
      </c>
      <c r="O14" s="21" t="n">
        <v>1.5</v>
      </c>
      <c r="P14" s="19" t="n">
        <f aca="false">IF(O14="",N14*$C$2,O14)</f>
        <v>1.5</v>
      </c>
      <c r="Q14" s="25" t="n">
        <f aca="false">M14*P14/100*(1-G14)</f>
        <v>0.012</v>
      </c>
      <c r="R14" s="26" t="n">
        <f aca="false">Q14*F14</f>
        <v>0.18</v>
      </c>
      <c r="S14" s="16" t="n">
        <f aca="false">R14*10</f>
        <v>1.8</v>
      </c>
      <c r="T14" s="19" t="n">
        <f aca="false">S14*10</f>
        <v>18</v>
      </c>
      <c r="U14" s="16" t="n">
        <f aca="false">MAX(0,MIN($L14,15)-MAX($K14,0))*$Q14*10</f>
        <v>0</v>
      </c>
      <c r="V14" s="16" t="n">
        <f aca="false">MAX(0,MIN($L14,30)-MAX($K14,15))*$Q14*10</f>
        <v>0.6</v>
      </c>
      <c r="W14" s="16" t="n">
        <f aca="false">MAX(0,MIN($L14,50)-MAX($K14,30))*$Q14*10</f>
        <v>1.2</v>
      </c>
      <c r="X14" s="16" t="n">
        <f aca="false">MAX(0,MIN($L14,100)-MAX($K14,50))*$Q14*10</f>
        <v>0</v>
      </c>
      <c r="Y14" s="14" t="n">
        <v>0.012</v>
      </c>
      <c r="Z14" s="27" t="n">
        <f aca="false">Q14-Y14</f>
        <v>0</v>
      </c>
    </row>
    <row r="15" customFormat="false" ht="15" hidden="false" customHeight="false" outlineLevel="0" collapsed="false">
      <c r="A15" s="13" t="n">
        <v>2024</v>
      </c>
      <c r="B15" s="12" t="s">
        <v>97</v>
      </c>
      <c r="C15" s="12" t="s">
        <v>145</v>
      </c>
      <c r="D15" s="14" t="n">
        <v>55.42</v>
      </c>
      <c r="E15" s="14" t="n">
        <v>-86.59</v>
      </c>
      <c r="F15" s="15" t="n">
        <v>10</v>
      </c>
      <c r="G15" s="21" t="n">
        <v>0</v>
      </c>
      <c r="H15" s="19" t="n">
        <v>0</v>
      </c>
      <c r="I15" s="19" t="n">
        <f aca="false">H15+F15</f>
        <v>10</v>
      </c>
      <c r="J15" s="23" t="n">
        <f aca="false">IFERROR(INDEX('2. Core Log'!$G$5:$G$20,MATCH(B15,'2. Core Log'!$A$5:$A$20,0)),1)</f>
        <v>1</v>
      </c>
      <c r="K15" s="19" t="n">
        <f aca="false">H15*J15</f>
        <v>0</v>
      </c>
      <c r="L15" s="19" t="n">
        <f aca="false">I15*J15</f>
        <v>10</v>
      </c>
      <c r="M15" s="24" t="n">
        <v>1.2</v>
      </c>
      <c r="N15" s="21" t="n">
        <v>3.88</v>
      </c>
      <c r="O15" s="21" t="n">
        <v>2.25</v>
      </c>
      <c r="P15" s="19" t="n">
        <f aca="false">IF(O15="",N15*$C$2,O15)</f>
        <v>2.25</v>
      </c>
      <c r="Q15" s="25" t="n">
        <f aca="false">M15*P15/100*(1-G15)</f>
        <v>0.027</v>
      </c>
      <c r="R15" s="26" t="n">
        <f aca="false">Q15*F15</f>
        <v>0.27</v>
      </c>
      <c r="S15" s="16" t="n">
        <f aca="false">R15*10</f>
        <v>2.7</v>
      </c>
      <c r="T15" s="19" t="n">
        <f aca="false">S15*10</f>
        <v>27</v>
      </c>
      <c r="U15" s="16" t="n">
        <f aca="false">MAX(0,MIN($L15,15)-MAX($K15,0))*$Q15*10</f>
        <v>2.7</v>
      </c>
      <c r="V15" s="16" t="n">
        <f aca="false">MAX(0,MIN($L15,30)-MAX($K15,15))*$Q15*10</f>
        <v>0</v>
      </c>
      <c r="W15" s="16" t="n">
        <f aca="false">MAX(0,MIN($L15,50)-MAX($K15,30))*$Q15*10</f>
        <v>0</v>
      </c>
      <c r="X15" s="16" t="n">
        <f aca="false">MAX(0,MIN($L15,100)-MAX($K15,50))*$Q15*10</f>
        <v>0</v>
      </c>
      <c r="Y15" s="14" t="n">
        <v>0.027</v>
      </c>
      <c r="Z15" s="27" t="n">
        <f aca="false">Q15-Y15</f>
        <v>0</v>
      </c>
    </row>
    <row r="16" customFormat="false" ht="15" hidden="false" customHeight="false" outlineLevel="0" collapsed="false">
      <c r="A16" s="13" t="n">
        <v>2024</v>
      </c>
      <c r="B16" s="12" t="s">
        <v>97</v>
      </c>
      <c r="C16" s="12" t="s">
        <v>146</v>
      </c>
      <c r="D16" s="14" t="n">
        <v>55.42</v>
      </c>
      <c r="E16" s="14" t="n">
        <v>-86.59</v>
      </c>
      <c r="F16" s="15" t="n">
        <v>15</v>
      </c>
      <c r="G16" s="21" t="n">
        <v>0</v>
      </c>
      <c r="H16" s="19" t="n">
        <f aca="false">I15</f>
        <v>10</v>
      </c>
      <c r="I16" s="19" t="n">
        <f aca="false">H16+F16</f>
        <v>25</v>
      </c>
      <c r="J16" s="23" t="n">
        <f aca="false">IFERROR(INDEX('2. Core Log'!$G$5:$G$20,MATCH(B16,'2. Core Log'!$A$5:$A$20,0)),1)</f>
        <v>1</v>
      </c>
      <c r="K16" s="19" t="n">
        <f aca="false">H16*J16</f>
        <v>10</v>
      </c>
      <c r="L16" s="19" t="n">
        <f aca="false">I16*J16</f>
        <v>25</v>
      </c>
      <c r="M16" s="24" t="n">
        <v>1</v>
      </c>
      <c r="N16" s="21" t="n">
        <v>4.48</v>
      </c>
      <c r="O16" s="21" t="n">
        <v>2.6</v>
      </c>
      <c r="P16" s="19" t="n">
        <f aca="false">IF(O16="",N16*$C$2,O16)</f>
        <v>2.6</v>
      </c>
      <c r="Q16" s="25" t="n">
        <f aca="false">M16*P16/100*(1-G16)</f>
        <v>0.026</v>
      </c>
      <c r="R16" s="26" t="n">
        <f aca="false">Q16*F16</f>
        <v>0.39</v>
      </c>
      <c r="S16" s="16" t="n">
        <f aca="false">R16*10</f>
        <v>3.9</v>
      </c>
      <c r="T16" s="19" t="n">
        <f aca="false">S16*10</f>
        <v>39</v>
      </c>
      <c r="U16" s="16" t="n">
        <f aca="false">MAX(0,MIN($L16,15)-MAX($K16,0))*$Q16*10</f>
        <v>1.3</v>
      </c>
      <c r="V16" s="16" t="n">
        <f aca="false">MAX(0,MIN($L16,30)-MAX($K16,15))*$Q16*10</f>
        <v>2.6</v>
      </c>
      <c r="W16" s="16" t="n">
        <f aca="false">MAX(0,MIN($L16,50)-MAX($K16,30))*$Q16*10</f>
        <v>0</v>
      </c>
      <c r="X16" s="16" t="n">
        <f aca="false">MAX(0,MIN($L16,100)-MAX($K16,50))*$Q16*10</f>
        <v>0</v>
      </c>
      <c r="Y16" s="14" t="n">
        <v>0.026</v>
      </c>
      <c r="Z16" s="27" t="n">
        <f aca="false">Q16-Y16</f>
        <v>0</v>
      </c>
    </row>
    <row r="17" customFormat="false" ht="15" hidden="false" customHeight="false" outlineLevel="0" collapsed="false">
      <c r="A17" s="13" t="n">
        <v>2024</v>
      </c>
      <c r="B17" s="12" t="s">
        <v>97</v>
      </c>
      <c r="C17" s="12" t="s">
        <v>147</v>
      </c>
      <c r="D17" s="14" t="n">
        <v>55.42</v>
      </c>
      <c r="E17" s="14" t="n">
        <v>-86.59</v>
      </c>
      <c r="F17" s="15" t="n">
        <v>15</v>
      </c>
      <c r="G17" s="21" t="n">
        <v>0</v>
      </c>
      <c r="H17" s="19" t="n">
        <f aca="false">I16</f>
        <v>25</v>
      </c>
      <c r="I17" s="19" t="n">
        <f aca="false">H17+F17</f>
        <v>40</v>
      </c>
      <c r="J17" s="23" t="n">
        <f aca="false">IFERROR(INDEX('2. Core Log'!$G$5:$G$20,MATCH(B17,'2. Core Log'!$A$5:$A$20,0)),1)</f>
        <v>1</v>
      </c>
      <c r="K17" s="19" t="n">
        <f aca="false">H17*J17</f>
        <v>25</v>
      </c>
      <c r="L17" s="19" t="n">
        <f aca="false">I17*J17</f>
        <v>40</v>
      </c>
      <c r="M17" s="24" t="n">
        <v>1.25</v>
      </c>
      <c r="N17" s="21" t="n">
        <v>1.1</v>
      </c>
      <c r="O17" s="21" t="n">
        <v>0.64</v>
      </c>
      <c r="P17" s="19" t="n">
        <f aca="false">IF(O17="",N17*$C$2,O17)</f>
        <v>0.64</v>
      </c>
      <c r="Q17" s="25" t="n">
        <f aca="false">M17*P17/100*(1-G17)</f>
        <v>0.008</v>
      </c>
      <c r="R17" s="26" t="n">
        <f aca="false">Q17*F17</f>
        <v>0.12</v>
      </c>
      <c r="S17" s="16" t="n">
        <f aca="false">R17*10</f>
        <v>1.2</v>
      </c>
      <c r="T17" s="19" t="n">
        <f aca="false">S17*10</f>
        <v>12</v>
      </c>
      <c r="U17" s="16" t="n">
        <f aca="false">MAX(0,MIN($L17,15)-MAX($K17,0))*$Q17*10</f>
        <v>0</v>
      </c>
      <c r="V17" s="16" t="n">
        <f aca="false">MAX(0,MIN($L17,30)-MAX($K17,15))*$Q17*10</f>
        <v>0.4</v>
      </c>
      <c r="W17" s="16" t="n">
        <f aca="false">MAX(0,MIN($L17,50)-MAX($K17,30))*$Q17*10</f>
        <v>0.8</v>
      </c>
      <c r="X17" s="16" t="n">
        <f aca="false">MAX(0,MIN($L17,100)-MAX($K17,50))*$Q17*10</f>
        <v>0</v>
      </c>
      <c r="Y17" s="14" t="n">
        <v>0.008</v>
      </c>
      <c r="Z17" s="27" t="n">
        <f aca="false">Q17-Y17</f>
        <v>0</v>
      </c>
    </row>
    <row r="18" customFormat="false" ht="15" hidden="false" customHeight="false" outlineLevel="0" collapsed="false">
      <c r="A18" s="13" t="n">
        <v>2024</v>
      </c>
      <c r="B18" s="12" t="s">
        <v>98</v>
      </c>
      <c r="C18" s="12" t="s">
        <v>148</v>
      </c>
      <c r="D18" s="14" t="n">
        <v>55.36</v>
      </c>
      <c r="E18" s="14" t="n">
        <v>-86.53</v>
      </c>
      <c r="F18" s="15" t="n">
        <v>10</v>
      </c>
      <c r="G18" s="21" t="n">
        <v>0</v>
      </c>
      <c r="H18" s="19" t="n">
        <v>0</v>
      </c>
      <c r="I18" s="19" t="n">
        <f aca="false">H18+F18</f>
        <v>10</v>
      </c>
      <c r="J18" s="23" t="n">
        <f aca="false">IFERROR(INDEX('2. Core Log'!$G$5:$G$20,MATCH(B18,'2. Core Log'!$A$5:$A$20,0)),1)</f>
        <v>1</v>
      </c>
      <c r="K18" s="19" t="n">
        <f aca="false">H18*J18</f>
        <v>0</v>
      </c>
      <c r="L18" s="19" t="n">
        <f aca="false">I18*J18</f>
        <v>10</v>
      </c>
      <c r="M18" s="24" t="n">
        <v>1.5</v>
      </c>
      <c r="N18" s="21" t="n">
        <v>12.76</v>
      </c>
      <c r="O18" s="21" t="n">
        <v>7.4</v>
      </c>
      <c r="P18" s="19" t="n">
        <f aca="false">IF(O18="",N18*$C$2,O18)</f>
        <v>7.4</v>
      </c>
      <c r="Q18" s="25" t="n">
        <f aca="false">M18*P18/100*(1-G18)</f>
        <v>0.111</v>
      </c>
      <c r="R18" s="26" t="n">
        <f aca="false">Q18*F18</f>
        <v>1.11</v>
      </c>
      <c r="S18" s="16" t="n">
        <f aca="false">R18*10</f>
        <v>11.1</v>
      </c>
      <c r="T18" s="19" t="n">
        <f aca="false">S18*10</f>
        <v>111</v>
      </c>
      <c r="U18" s="16" t="n">
        <f aca="false">MAX(0,MIN($L18,15)-MAX($K18,0))*$Q18*10</f>
        <v>11.1</v>
      </c>
      <c r="V18" s="16" t="n">
        <f aca="false">MAX(0,MIN($L18,30)-MAX($K18,15))*$Q18*10</f>
        <v>0</v>
      </c>
      <c r="W18" s="16" t="n">
        <f aca="false">MAX(0,MIN($L18,50)-MAX($K18,30))*$Q18*10</f>
        <v>0</v>
      </c>
      <c r="X18" s="16" t="n">
        <f aca="false">MAX(0,MIN($L18,100)-MAX($K18,50))*$Q18*10</f>
        <v>0</v>
      </c>
      <c r="Y18" s="14" t="n">
        <v>0.111</v>
      </c>
      <c r="Z18" s="27" t="n">
        <f aca="false">Q18-Y18</f>
        <v>0</v>
      </c>
    </row>
    <row r="19" customFormat="false" ht="15" hidden="false" customHeight="false" outlineLevel="0" collapsed="false">
      <c r="A19" s="13" t="n">
        <v>2024</v>
      </c>
      <c r="B19" s="12" t="s">
        <v>98</v>
      </c>
      <c r="C19" s="12" t="s">
        <v>149</v>
      </c>
      <c r="D19" s="14" t="n">
        <v>55.36</v>
      </c>
      <c r="E19" s="14" t="n">
        <v>-86.53</v>
      </c>
      <c r="F19" s="15" t="n">
        <v>15</v>
      </c>
      <c r="G19" s="21" t="n">
        <v>0</v>
      </c>
      <c r="H19" s="19" t="n">
        <f aca="false">I18</f>
        <v>10</v>
      </c>
      <c r="I19" s="19" t="n">
        <f aca="false">H19+F19</f>
        <v>25</v>
      </c>
      <c r="J19" s="23" t="n">
        <f aca="false">IFERROR(INDEX('2. Core Log'!$G$5:$G$20,MATCH(B19,'2. Core Log'!$A$5:$A$20,0)),1)</f>
        <v>1</v>
      </c>
      <c r="K19" s="19" t="n">
        <f aca="false">H19*J19</f>
        <v>10</v>
      </c>
      <c r="L19" s="19" t="n">
        <f aca="false">I19*J19</f>
        <v>25</v>
      </c>
      <c r="M19" s="24" t="n">
        <v>0.8</v>
      </c>
      <c r="N19" s="21" t="n">
        <v>23.7</v>
      </c>
      <c r="O19" s="21" t="n">
        <v>13.75</v>
      </c>
      <c r="P19" s="19" t="n">
        <f aca="false">IF(O19="",N19*$C$2,O19)</f>
        <v>13.75</v>
      </c>
      <c r="Q19" s="25" t="n">
        <f aca="false">M19*P19/100*(1-G19)</f>
        <v>0.11</v>
      </c>
      <c r="R19" s="26" t="n">
        <f aca="false">Q19*F19</f>
        <v>1.65</v>
      </c>
      <c r="S19" s="16" t="n">
        <f aca="false">R19*10</f>
        <v>16.5</v>
      </c>
      <c r="T19" s="19" t="n">
        <f aca="false">S19*10</f>
        <v>165</v>
      </c>
      <c r="U19" s="16" t="n">
        <f aca="false">MAX(0,MIN($L19,15)-MAX($K19,0))*$Q19*10</f>
        <v>5.5</v>
      </c>
      <c r="V19" s="16" t="n">
        <f aca="false">MAX(0,MIN($L19,30)-MAX($K19,15))*$Q19*10</f>
        <v>11</v>
      </c>
      <c r="W19" s="16" t="n">
        <f aca="false">MAX(0,MIN($L19,50)-MAX($K19,30))*$Q19*10</f>
        <v>0</v>
      </c>
      <c r="X19" s="16" t="n">
        <f aca="false">MAX(0,MIN($L19,100)-MAX($K19,50))*$Q19*10</f>
        <v>0</v>
      </c>
      <c r="Y19" s="14" t="n">
        <v>0.11</v>
      </c>
      <c r="Z19" s="27" t="n">
        <f aca="false">Q19-Y19</f>
        <v>0</v>
      </c>
    </row>
    <row r="20" customFormat="false" ht="15" hidden="false" customHeight="false" outlineLevel="0" collapsed="false">
      <c r="A20" s="13" t="n">
        <v>2024</v>
      </c>
      <c r="B20" s="12" t="s">
        <v>98</v>
      </c>
      <c r="C20" s="12" t="s">
        <v>150</v>
      </c>
      <c r="D20" s="14" t="n">
        <v>55.36</v>
      </c>
      <c r="E20" s="14" t="n">
        <v>-86.53</v>
      </c>
      <c r="F20" s="15" t="n">
        <v>15</v>
      </c>
      <c r="G20" s="21" t="n">
        <v>0</v>
      </c>
      <c r="H20" s="19" t="n">
        <f aca="false">I19</f>
        <v>25</v>
      </c>
      <c r="I20" s="19" t="n">
        <f aca="false">H20+F20</f>
        <v>40</v>
      </c>
      <c r="J20" s="23" t="n">
        <f aca="false">IFERROR(INDEX('2. Core Log'!$G$5:$G$20,MATCH(B20,'2. Core Log'!$A$5:$A$20,0)),1)</f>
        <v>1</v>
      </c>
      <c r="K20" s="19" t="n">
        <f aca="false">H20*J20</f>
        <v>25</v>
      </c>
      <c r="L20" s="19" t="n">
        <f aca="false">I20*J20</f>
        <v>40</v>
      </c>
      <c r="M20" s="24" t="n">
        <v>1</v>
      </c>
      <c r="N20" s="21" t="n">
        <v>1.38</v>
      </c>
      <c r="O20" s="21" t="n">
        <v>0.8</v>
      </c>
      <c r="P20" s="19" t="n">
        <f aca="false">IF(O20="",N20*$C$2,O20)</f>
        <v>0.8</v>
      </c>
      <c r="Q20" s="25" t="n">
        <f aca="false">M20*P20/100*(1-G20)</f>
        <v>0.008</v>
      </c>
      <c r="R20" s="26" t="n">
        <f aca="false">Q20*F20</f>
        <v>0.12</v>
      </c>
      <c r="S20" s="16" t="n">
        <f aca="false">R20*10</f>
        <v>1.2</v>
      </c>
      <c r="T20" s="19" t="n">
        <f aca="false">S20*10</f>
        <v>12</v>
      </c>
      <c r="U20" s="16" t="n">
        <f aca="false">MAX(0,MIN($L20,15)-MAX($K20,0))*$Q20*10</f>
        <v>0</v>
      </c>
      <c r="V20" s="16" t="n">
        <f aca="false">MAX(0,MIN($L20,30)-MAX($K20,15))*$Q20*10</f>
        <v>0.4</v>
      </c>
      <c r="W20" s="16" t="n">
        <f aca="false">MAX(0,MIN($L20,50)-MAX($K20,30))*$Q20*10</f>
        <v>0.8</v>
      </c>
      <c r="X20" s="16" t="n">
        <f aca="false">MAX(0,MIN($L20,100)-MAX($K20,50))*$Q20*10</f>
        <v>0</v>
      </c>
      <c r="Y20" s="14" t="n">
        <v>0.008</v>
      </c>
      <c r="Z20" s="27" t="n">
        <f aca="false">Q20-Y20</f>
        <v>0</v>
      </c>
    </row>
    <row r="21" customFormat="false" ht="15" hidden="false" customHeight="false" outlineLevel="0" collapsed="false">
      <c r="A21" s="13" t="n">
        <v>2024</v>
      </c>
      <c r="B21" s="12" t="s">
        <v>99</v>
      </c>
      <c r="C21" s="12" t="s">
        <v>151</v>
      </c>
      <c r="D21" s="14" t="n">
        <v>55.26</v>
      </c>
      <c r="E21" s="14" t="n">
        <v>-86.55</v>
      </c>
      <c r="F21" s="15" t="n">
        <v>10</v>
      </c>
      <c r="G21" s="21" t="n">
        <v>0</v>
      </c>
      <c r="H21" s="19" t="n">
        <v>0</v>
      </c>
      <c r="I21" s="19" t="n">
        <f aca="false">H21+F21</f>
        <v>10</v>
      </c>
      <c r="J21" s="23" t="n">
        <f aca="false">IFERROR(INDEX('2. Core Log'!$G$5:$G$20,MATCH(B21,'2. Core Log'!$A$5:$A$20,0)),1)</f>
        <v>1</v>
      </c>
      <c r="K21" s="19" t="n">
        <f aca="false">H21*J21</f>
        <v>0</v>
      </c>
      <c r="L21" s="19" t="n">
        <f aca="false">I21*J21</f>
        <v>10</v>
      </c>
      <c r="M21" s="24" t="n">
        <v>0.6</v>
      </c>
      <c r="N21" s="21" t="n">
        <v>11.21</v>
      </c>
      <c r="O21" s="21" t="n">
        <v>6.5</v>
      </c>
      <c r="P21" s="19" t="n">
        <f aca="false">IF(O21="",N21*$C$2,O21)</f>
        <v>6.5</v>
      </c>
      <c r="Q21" s="25" t="n">
        <f aca="false">M21*P21/100*(1-G21)</f>
        <v>0.039</v>
      </c>
      <c r="R21" s="26" t="n">
        <f aca="false">Q21*F21</f>
        <v>0.39</v>
      </c>
      <c r="S21" s="16" t="n">
        <f aca="false">R21*10</f>
        <v>3.9</v>
      </c>
      <c r="T21" s="19" t="n">
        <f aca="false">S21*10</f>
        <v>39</v>
      </c>
      <c r="U21" s="16" t="n">
        <f aca="false">MAX(0,MIN($L21,15)-MAX($K21,0))*$Q21*10</f>
        <v>3.9</v>
      </c>
      <c r="V21" s="16" t="n">
        <f aca="false">MAX(0,MIN($L21,30)-MAX($K21,15))*$Q21*10</f>
        <v>0</v>
      </c>
      <c r="W21" s="16" t="n">
        <f aca="false">MAX(0,MIN($L21,50)-MAX($K21,30))*$Q21*10</f>
        <v>0</v>
      </c>
      <c r="X21" s="16" t="n">
        <f aca="false">MAX(0,MIN($L21,100)-MAX($K21,50))*$Q21*10</f>
        <v>0</v>
      </c>
      <c r="Y21" s="14" t="n">
        <v>0.039</v>
      </c>
      <c r="Z21" s="27" t="n">
        <f aca="false">Q21-Y21</f>
        <v>0</v>
      </c>
    </row>
    <row r="22" customFormat="false" ht="15" hidden="false" customHeight="false" outlineLevel="0" collapsed="false">
      <c r="A22" s="13" t="n">
        <v>2024</v>
      </c>
      <c r="B22" s="12" t="s">
        <v>99</v>
      </c>
      <c r="C22" s="12" t="s">
        <v>152</v>
      </c>
      <c r="D22" s="14" t="n">
        <v>55.26</v>
      </c>
      <c r="E22" s="14" t="n">
        <v>-86.55</v>
      </c>
      <c r="F22" s="15" t="n">
        <v>15</v>
      </c>
      <c r="G22" s="21" t="n">
        <v>0</v>
      </c>
      <c r="H22" s="19" t="n">
        <f aca="false">I21</f>
        <v>10</v>
      </c>
      <c r="I22" s="19" t="n">
        <f aca="false">H22+F22</f>
        <v>25</v>
      </c>
      <c r="J22" s="23" t="n">
        <f aca="false">IFERROR(INDEX('2. Core Log'!$G$5:$G$20,MATCH(B22,'2. Core Log'!$A$5:$A$20,0)),1)</f>
        <v>1</v>
      </c>
      <c r="K22" s="19" t="n">
        <f aca="false">H22*J22</f>
        <v>10</v>
      </c>
      <c r="L22" s="19" t="n">
        <f aca="false">I22*J22</f>
        <v>25</v>
      </c>
      <c r="M22" s="24" t="n">
        <v>1.25</v>
      </c>
      <c r="N22" s="21" t="n">
        <v>5.24</v>
      </c>
      <c r="O22" s="21" t="n">
        <v>3.04</v>
      </c>
      <c r="P22" s="19" t="n">
        <f aca="false">IF(O22="",N22*$C$2,O22)</f>
        <v>3.04</v>
      </c>
      <c r="Q22" s="25" t="n">
        <f aca="false">M22*P22/100*(1-G22)</f>
        <v>0.038</v>
      </c>
      <c r="R22" s="26" t="n">
        <f aca="false">Q22*F22</f>
        <v>0.57</v>
      </c>
      <c r="S22" s="16" t="n">
        <f aca="false">R22*10</f>
        <v>5.7</v>
      </c>
      <c r="T22" s="19" t="n">
        <f aca="false">S22*10</f>
        <v>57</v>
      </c>
      <c r="U22" s="16" t="n">
        <f aca="false">MAX(0,MIN($L22,15)-MAX($K22,0))*$Q22*10</f>
        <v>1.9</v>
      </c>
      <c r="V22" s="16" t="n">
        <f aca="false">MAX(0,MIN($L22,30)-MAX($K22,15))*$Q22*10</f>
        <v>3.8</v>
      </c>
      <c r="W22" s="16" t="n">
        <f aca="false">MAX(0,MIN($L22,50)-MAX($K22,30))*$Q22*10</f>
        <v>0</v>
      </c>
      <c r="X22" s="16" t="n">
        <f aca="false">MAX(0,MIN($L22,100)-MAX($K22,50))*$Q22*10</f>
        <v>0</v>
      </c>
      <c r="Y22" s="14" t="n">
        <v>0.038</v>
      </c>
      <c r="Z22" s="27" t="n">
        <f aca="false">Q22-Y22</f>
        <v>0</v>
      </c>
    </row>
    <row r="23" customFormat="false" ht="15" hidden="false" customHeight="false" outlineLevel="0" collapsed="false">
      <c r="A23" s="13" t="n">
        <v>2024</v>
      </c>
      <c r="B23" s="12" t="s">
        <v>99</v>
      </c>
      <c r="C23" s="12" t="s">
        <v>153</v>
      </c>
      <c r="D23" s="14" t="n">
        <v>55.26</v>
      </c>
      <c r="E23" s="14" t="n">
        <v>-86.55</v>
      </c>
      <c r="F23" s="15" t="n">
        <v>15</v>
      </c>
      <c r="G23" s="21" t="n">
        <v>0</v>
      </c>
      <c r="H23" s="19" t="n">
        <f aca="false">I22</f>
        <v>25</v>
      </c>
      <c r="I23" s="19" t="n">
        <f aca="false">H23+F23</f>
        <v>40</v>
      </c>
      <c r="J23" s="23" t="n">
        <f aca="false">IFERROR(INDEX('2. Core Log'!$G$5:$G$20,MATCH(B23,'2. Core Log'!$A$5:$A$20,0)),1)</f>
        <v>1</v>
      </c>
      <c r="K23" s="19" t="n">
        <f aca="false">H23*J23</f>
        <v>25</v>
      </c>
      <c r="L23" s="19" t="n">
        <f aca="false">I23*J23</f>
        <v>40</v>
      </c>
      <c r="M23" s="24" t="n">
        <v>1</v>
      </c>
      <c r="N23" s="21" t="n">
        <v>1.38</v>
      </c>
      <c r="O23" s="21" t="n">
        <v>0.8</v>
      </c>
      <c r="P23" s="19" t="n">
        <f aca="false">IF(O23="",N23*$C$2,O23)</f>
        <v>0.8</v>
      </c>
      <c r="Q23" s="25" t="n">
        <f aca="false">M23*P23/100*(1-G23)</f>
        <v>0.008</v>
      </c>
      <c r="R23" s="26" t="n">
        <f aca="false">Q23*F23</f>
        <v>0.12</v>
      </c>
      <c r="S23" s="16" t="n">
        <f aca="false">R23*10</f>
        <v>1.2</v>
      </c>
      <c r="T23" s="19" t="n">
        <f aca="false">S23*10</f>
        <v>12</v>
      </c>
      <c r="U23" s="16" t="n">
        <f aca="false">MAX(0,MIN($L23,15)-MAX($K23,0))*$Q23*10</f>
        <v>0</v>
      </c>
      <c r="V23" s="16" t="n">
        <f aca="false">MAX(0,MIN($L23,30)-MAX($K23,15))*$Q23*10</f>
        <v>0.4</v>
      </c>
      <c r="W23" s="16" t="n">
        <f aca="false">MAX(0,MIN($L23,50)-MAX($K23,30))*$Q23*10</f>
        <v>0.8</v>
      </c>
      <c r="X23" s="16" t="n">
        <f aca="false">MAX(0,MIN($L23,100)-MAX($K23,50))*$Q23*10</f>
        <v>0</v>
      </c>
      <c r="Y23" s="14" t="n">
        <v>0.008</v>
      </c>
      <c r="Z23" s="27" t="n">
        <f aca="false">Q23-Y23</f>
        <v>0</v>
      </c>
    </row>
    <row r="24" customFormat="false" ht="15" hidden="false" customHeight="false" outlineLevel="0" collapsed="false">
      <c r="A24" s="13" t="n">
        <v>2024</v>
      </c>
      <c r="B24" s="12" t="s">
        <v>100</v>
      </c>
      <c r="C24" s="12" t="s">
        <v>154</v>
      </c>
      <c r="D24" s="14" t="n">
        <v>55.31</v>
      </c>
      <c r="E24" s="14" t="n">
        <v>-86.49</v>
      </c>
      <c r="F24" s="15" t="n">
        <v>10</v>
      </c>
      <c r="G24" s="21" t="n">
        <v>0</v>
      </c>
      <c r="H24" s="19" t="n">
        <v>0</v>
      </c>
      <c r="I24" s="19" t="n">
        <f aca="false">H24+F24</f>
        <v>10</v>
      </c>
      <c r="J24" s="23" t="n">
        <f aca="false">IFERROR(INDEX('2. Core Log'!$G$5:$G$20,MATCH(B24,'2. Core Log'!$A$5:$A$20,0)),1)</f>
        <v>1</v>
      </c>
      <c r="K24" s="19" t="n">
        <f aca="false">H24*J24</f>
        <v>0</v>
      </c>
      <c r="L24" s="19" t="n">
        <f aca="false">I24*J24</f>
        <v>10</v>
      </c>
      <c r="M24" s="24" t="n">
        <v>0.6</v>
      </c>
      <c r="N24" s="21" t="n">
        <v>25.86</v>
      </c>
      <c r="O24" s="21" t="n">
        <v>15</v>
      </c>
      <c r="P24" s="19" t="n">
        <f aca="false">IF(O24="",N24*$C$2,O24)</f>
        <v>15</v>
      </c>
      <c r="Q24" s="25" t="n">
        <f aca="false">M24*P24/100*(1-G24)</f>
        <v>0.09</v>
      </c>
      <c r="R24" s="26" t="n">
        <f aca="false">Q24*F24</f>
        <v>0.9</v>
      </c>
      <c r="S24" s="16" t="n">
        <f aca="false">R24*10</f>
        <v>9</v>
      </c>
      <c r="T24" s="19" t="n">
        <f aca="false">S24*10</f>
        <v>90</v>
      </c>
      <c r="U24" s="16" t="n">
        <f aca="false">MAX(0,MIN($L24,15)-MAX($K24,0))*$Q24*10</f>
        <v>9</v>
      </c>
      <c r="V24" s="16" t="n">
        <f aca="false">MAX(0,MIN($L24,30)-MAX($K24,15))*$Q24*10</f>
        <v>0</v>
      </c>
      <c r="W24" s="16" t="n">
        <f aca="false">MAX(0,MIN($L24,50)-MAX($K24,30))*$Q24*10</f>
        <v>0</v>
      </c>
      <c r="X24" s="16" t="n">
        <f aca="false">MAX(0,MIN($L24,100)-MAX($K24,50))*$Q24*10</f>
        <v>0</v>
      </c>
      <c r="Y24" s="14" t="n">
        <v>0.09</v>
      </c>
      <c r="Z24" s="27" t="n">
        <f aca="false">Q24-Y24</f>
        <v>0</v>
      </c>
    </row>
    <row r="25" customFormat="false" ht="15" hidden="false" customHeight="false" outlineLevel="0" collapsed="false">
      <c r="A25" s="13" t="n">
        <v>2024</v>
      </c>
      <c r="B25" s="12" t="s">
        <v>100</v>
      </c>
      <c r="C25" s="12" t="s">
        <v>155</v>
      </c>
      <c r="D25" s="14" t="n">
        <v>55.31</v>
      </c>
      <c r="E25" s="14" t="n">
        <v>-86.49</v>
      </c>
      <c r="F25" s="15" t="n">
        <v>15</v>
      </c>
      <c r="G25" s="21" t="n">
        <v>0</v>
      </c>
      <c r="H25" s="19" t="n">
        <f aca="false">I24</f>
        <v>10</v>
      </c>
      <c r="I25" s="19" t="n">
        <f aca="false">H25+F25</f>
        <v>25</v>
      </c>
      <c r="J25" s="23" t="n">
        <f aca="false">IFERROR(INDEX('2. Core Log'!$G$5:$G$20,MATCH(B25,'2. Core Log'!$A$5:$A$20,0)),1)</f>
        <v>1</v>
      </c>
      <c r="K25" s="19" t="n">
        <f aca="false">H25*J25</f>
        <v>10</v>
      </c>
      <c r="L25" s="19" t="n">
        <f aca="false">I25*J25</f>
        <v>25</v>
      </c>
      <c r="M25" s="24" t="n">
        <v>1</v>
      </c>
      <c r="N25" s="21" t="n">
        <v>15.86</v>
      </c>
      <c r="O25" s="21" t="n">
        <v>9.2</v>
      </c>
      <c r="P25" s="19" t="n">
        <f aca="false">IF(O25="",N25*$C$2,O25)</f>
        <v>9.2</v>
      </c>
      <c r="Q25" s="25" t="n">
        <f aca="false">M25*P25/100*(1-G25)</f>
        <v>0.092</v>
      </c>
      <c r="R25" s="26" t="n">
        <f aca="false">Q25*F25</f>
        <v>1.38</v>
      </c>
      <c r="S25" s="16" t="n">
        <f aca="false">R25*10</f>
        <v>13.8</v>
      </c>
      <c r="T25" s="19" t="n">
        <f aca="false">S25*10</f>
        <v>138</v>
      </c>
      <c r="U25" s="16" t="n">
        <f aca="false">MAX(0,MIN($L25,15)-MAX($K25,0))*$Q25*10</f>
        <v>4.6</v>
      </c>
      <c r="V25" s="16" t="n">
        <f aca="false">MAX(0,MIN($L25,30)-MAX($K25,15))*$Q25*10</f>
        <v>9.2</v>
      </c>
      <c r="W25" s="16" t="n">
        <f aca="false">MAX(0,MIN($L25,50)-MAX($K25,30))*$Q25*10</f>
        <v>0</v>
      </c>
      <c r="X25" s="16" t="n">
        <f aca="false">MAX(0,MIN($L25,100)-MAX($K25,50))*$Q25*10</f>
        <v>0</v>
      </c>
      <c r="Y25" s="14" t="n">
        <v>0.092</v>
      </c>
      <c r="Z25" s="27" t="n">
        <f aca="false">Q25-Y25</f>
        <v>0</v>
      </c>
    </row>
    <row r="26" customFormat="false" ht="15" hidden="false" customHeight="false" outlineLevel="0" collapsed="false">
      <c r="A26" s="13" t="n">
        <v>2024</v>
      </c>
      <c r="B26" s="12" t="s">
        <v>100</v>
      </c>
      <c r="C26" s="12" t="s">
        <v>156</v>
      </c>
      <c r="D26" s="14" t="n">
        <v>55.31</v>
      </c>
      <c r="E26" s="14" t="n">
        <v>-86.49</v>
      </c>
      <c r="F26" s="15" t="n">
        <v>15</v>
      </c>
      <c r="G26" s="21" t="n">
        <v>0</v>
      </c>
      <c r="H26" s="19" t="n">
        <f aca="false">I25</f>
        <v>25</v>
      </c>
      <c r="I26" s="19" t="n">
        <f aca="false">H26+F26</f>
        <v>40</v>
      </c>
      <c r="J26" s="23" t="n">
        <f aca="false">IFERROR(INDEX('2. Core Log'!$G$5:$G$20,MATCH(B26,'2. Core Log'!$A$5:$A$20,0)),1)</f>
        <v>1</v>
      </c>
      <c r="K26" s="19" t="n">
        <f aca="false">H26*J26</f>
        <v>25</v>
      </c>
      <c r="L26" s="19" t="n">
        <f aca="false">I26*J26</f>
        <v>40</v>
      </c>
      <c r="M26" s="24" t="n">
        <v>0.8</v>
      </c>
      <c r="N26" s="21" t="n">
        <v>0.86</v>
      </c>
      <c r="O26" s="21" t="n">
        <v>0.5</v>
      </c>
      <c r="P26" s="19" t="n">
        <f aca="false">IF(O26="",N26*$C$2,O26)</f>
        <v>0.5</v>
      </c>
      <c r="Q26" s="25" t="n">
        <f aca="false">M26*P26/100*(1-G26)</f>
        <v>0.004</v>
      </c>
      <c r="R26" s="26" t="n">
        <f aca="false">Q26*F26</f>
        <v>0.06</v>
      </c>
      <c r="S26" s="16" t="n">
        <f aca="false">R26*10</f>
        <v>0.6</v>
      </c>
      <c r="T26" s="19" t="n">
        <f aca="false">S26*10</f>
        <v>6</v>
      </c>
      <c r="U26" s="16" t="n">
        <f aca="false">MAX(0,MIN($L26,15)-MAX($K26,0))*$Q26*10</f>
        <v>0</v>
      </c>
      <c r="V26" s="16" t="n">
        <f aca="false">MAX(0,MIN($L26,30)-MAX($K26,15))*$Q26*10</f>
        <v>0.2</v>
      </c>
      <c r="W26" s="16" t="n">
        <f aca="false">MAX(0,MIN($L26,50)-MAX($K26,30))*$Q26*10</f>
        <v>0.4</v>
      </c>
      <c r="X26" s="16" t="n">
        <f aca="false">MAX(0,MIN($L26,100)-MAX($K26,50))*$Q26*10</f>
        <v>0</v>
      </c>
      <c r="Y26" s="14" t="n">
        <v>0.004</v>
      </c>
      <c r="Z26" s="27" t="n">
        <f aca="false">Q26-Y26</f>
        <v>0</v>
      </c>
    </row>
    <row r="27" customFormat="false" ht="15" hidden="false" customHeight="false" outlineLevel="0" collapsed="false">
      <c r="A27" s="13" t="n">
        <v>2024</v>
      </c>
      <c r="B27" s="12" t="s">
        <v>101</v>
      </c>
      <c r="C27" s="12" t="s">
        <v>157</v>
      </c>
      <c r="D27" s="14" t="n">
        <v>55.25</v>
      </c>
      <c r="E27" s="14" t="n">
        <v>-86.44</v>
      </c>
      <c r="F27" s="15" t="n">
        <v>10</v>
      </c>
      <c r="G27" s="21" t="n">
        <v>0</v>
      </c>
      <c r="H27" s="19" t="n">
        <v>0</v>
      </c>
      <c r="I27" s="19" t="n">
        <f aca="false">H27+F27</f>
        <v>10</v>
      </c>
      <c r="J27" s="23" t="n">
        <f aca="false">IFERROR(INDEX('2. Core Log'!$G$5:$G$20,MATCH(B27,'2. Core Log'!$A$5:$A$20,0)),1)</f>
        <v>1</v>
      </c>
      <c r="K27" s="19" t="n">
        <f aca="false">H27*J27</f>
        <v>0</v>
      </c>
      <c r="L27" s="19" t="n">
        <f aca="false">I27*J27</f>
        <v>10</v>
      </c>
      <c r="M27" s="24" t="n">
        <v>0.75</v>
      </c>
      <c r="N27" s="21" t="n">
        <v>6.9</v>
      </c>
      <c r="O27" s="21" t="n">
        <v>4</v>
      </c>
      <c r="P27" s="19" t="n">
        <f aca="false">IF(O27="",N27*$C$2,O27)</f>
        <v>4</v>
      </c>
      <c r="Q27" s="25" t="n">
        <f aca="false">M27*P27/100*(1-G27)</f>
        <v>0.03</v>
      </c>
      <c r="R27" s="26" t="n">
        <f aca="false">Q27*F27</f>
        <v>0.3</v>
      </c>
      <c r="S27" s="16" t="n">
        <f aca="false">R27*10</f>
        <v>3</v>
      </c>
      <c r="T27" s="19" t="n">
        <f aca="false">S27*10</f>
        <v>30</v>
      </c>
      <c r="U27" s="16" t="n">
        <f aca="false">MAX(0,MIN($L27,15)-MAX($K27,0))*$Q27*10</f>
        <v>3</v>
      </c>
      <c r="V27" s="16" t="n">
        <f aca="false">MAX(0,MIN($L27,30)-MAX($K27,15))*$Q27*10</f>
        <v>0</v>
      </c>
      <c r="W27" s="16" t="n">
        <f aca="false">MAX(0,MIN($L27,50)-MAX($K27,30))*$Q27*10</f>
        <v>0</v>
      </c>
      <c r="X27" s="16" t="n">
        <f aca="false">MAX(0,MIN($L27,100)-MAX($K27,50))*$Q27*10</f>
        <v>0</v>
      </c>
      <c r="Y27" s="14" t="n">
        <v>0.03</v>
      </c>
      <c r="Z27" s="27" t="n">
        <f aca="false">Q27-Y27</f>
        <v>0</v>
      </c>
    </row>
    <row r="28" customFormat="false" ht="15" hidden="false" customHeight="false" outlineLevel="0" collapsed="false">
      <c r="A28" s="13" t="n">
        <v>2024</v>
      </c>
      <c r="B28" s="12" t="s">
        <v>101</v>
      </c>
      <c r="C28" s="12" t="s">
        <v>158</v>
      </c>
      <c r="D28" s="14" t="n">
        <v>55.25</v>
      </c>
      <c r="E28" s="14" t="n">
        <v>-86.44</v>
      </c>
      <c r="F28" s="15" t="n">
        <v>15</v>
      </c>
      <c r="G28" s="21" t="n">
        <v>0</v>
      </c>
      <c r="H28" s="19" t="n">
        <f aca="false">I27</f>
        <v>10</v>
      </c>
      <c r="I28" s="19" t="n">
        <f aca="false">H28+F28</f>
        <v>25</v>
      </c>
      <c r="J28" s="23" t="n">
        <f aca="false">IFERROR(INDEX('2. Core Log'!$G$5:$G$20,MATCH(B28,'2. Core Log'!$A$5:$A$20,0)),1)</f>
        <v>1</v>
      </c>
      <c r="K28" s="19" t="n">
        <f aca="false">H28*J28</f>
        <v>10</v>
      </c>
      <c r="L28" s="19" t="n">
        <f aca="false">I28*J28</f>
        <v>25</v>
      </c>
      <c r="M28" s="24" t="n">
        <v>0.8</v>
      </c>
      <c r="N28" s="21" t="n">
        <v>6.9</v>
      </c>
      <c r="O28" s="21" t="n">
        <v>4</v>
      </c>
      <c r="P28" s="19" t="n">
        <f aca="false">IF(O28="",N28*$C$2,O28)</f>
        <v>4</v>
      </c>
      <c r="Q28" s="25" t="n">
        <f aca="false">M28*P28/100*(1-G28)</f>
        <v>0.032</v>
      </c>
      <c r="R28" s="26" t="n">
        <f aca="false">Q28*F28</f>
        <v>0.48</v>
      </c>
      <c r="S28" s="16" t="n">
        <f aca="false">R28*10</f>
        <v>4.8</v>
      </c>
      <c r="T28" s="19" t="n">
        <f aca="false">S28*10</f>
        <v>48</v>
      </c>
      <c r="U28" s="16" t="n">
        <f aca="false">MAX(0,MIN($L28,15)-MAX($K28,0))*$Q28*10</f>
        <v>1.6</v>
      </c>
      <c r="V28" s="16" t="n">
        <f aca="false">MAX(0,MIN($L28,30)-MAX($K28,15))*$Q28*10</f>
        <v>3.2</v>
      </c>
      <c r="W28" s="16" t="n">
        <f aca="false">MAX(0,MIN($L28,50)-MAX($K28,30))*$Q28*10</f>
        <v>0</v>
      </c>
      <c r="X28" s="16" t="n">
        <f aca="false">MAX(0,MIN($L28,100)-MAX($K28,50))*$Q28*10</f>
        <v>0</v>
      </c>
      <c r="Y28" s="14" t="n">
        <v>0.032</v>
      </c>
      <c r="Z28" s="27" t="n">
        <f aca="false">Q28-Y28</f>
        <v>0</v>
      </c>
    </row>
    <row r="29" customFormat="false" ht="15" hidden="false" customHeight="false" outlineLevel="0" collapsed="false">
      <c r="A29" s="13" t="n">
        <v>2024</v>
      </c>
      <c r="B29" s="12" t="s">
        <v>101</v>
      </c>
      <c r="C29" s="12" t="s">
        <v>159</v>
      </c>
      <c r="D29" s="14" t="n">
        <v>55.25</v>
      </c>
      <c r="E29" s="14" t="n">
        <v>-86.44</v>
      </c>
      <c r="F29" s="15" t="n">
        <v>15</v>
      </c>
      <c r="G29" s="21" t="n">
        <v>0</v>
      </c>
      <c r="H29" s="19" t="n">
        <f aca="false">I28</f>
        <v>25</v>
      </c>
      <c r="I29" s="19" t="n">
        <f aca="false">H29+F29</f>
        <v>40</v>
      </c>
      <c r="J29" s="23" t="n">
        <f aca="false">IFERROR(INDEX('2. Core Log'!$G$5:$G$20,MATCH(B29,'2. Core Log'!$A$5:$A$20,0)),1)</f>
        <v>1</v>
      </c>
      <c r="K29" s="19" t="n">
        <f aca="false">H29*J29</f>
        <v>25</v>
      </c>
      <c r="L29" s="19" t="n">
        <f aca="false">I29*J29</f>
        <v>40</v>
      </c>
      <c r="M29" s="24" t="n">
        <v>1.25</v>
      </c>
      <c r="N29" s="21" t="n">
        <v>0.55</v>
      </c>
      <c r="O29" s="21" t="n">
        <v>0.32</v>
      </c>
      <c r="P29" s="19" t="n">
        <f aca="false">IF(O29="",N29*$C$2,O29)</f>
        <v>0.32</v>
      </c>
      <c r="Q29" s="25" t="n">
        <f aca="false">M29*P29/100*(1-G29)</f>
        <v>0.004</v>
      </c>
      <c r="R29" s="26" t="n">
        <f aca="false">Q29*F29</f>
        <v>0.06</v>
      </c>
      <c r="S29" s="16" t="n">
        <f aca="false">R29*10</f>
        <v>0.6</v>
      </c>
      <c r="T29" s="19" t="n">
        <f aca="false">S29*10</f>
        <v>6</v>
      </c>
      <c r="U29" s="16" t="n">
        <f aca="false">MAX(0,MIN($L29,15)-MAX($K29,0))*$Q29*10</f>
        <v>0</v>
      </c>
      <c r="V29" s="16" t="n">
        <f aca="false">MAX(0,MIN($L29,30)-MAX($K29,15))*$Q29*10</f>
        <v>0.2</v>
      </c>
      <c r="W29" s="16" t="n">
        <f aca="false">MAX(0,MIN($L29,50)-MAX($K29,30))*$Q29*10</f>
        <v>0.4</v>
      </c>
      <c r="X29" s="16" t="n">
        <f aca="false">MAX(0,MIN($L29,100)-MAX($K29,50))*$Q29*10</f>
        <v>0</v>
      </c>
      <c r="Y29" s="14" t="n">
        <v>0.004</v>
      </c>
      <c r="Z29" s="27" t="n">
        <f aca="false">Q29-Y29</f>
        <v>0</v>
      </c>
    </row>
    <row r="30" customFormat="false" ht="15" hidden="false" customHeight="false" outlineLevel="0" collapsed="false">
      <c r="A30" s="13" t="n">
        <v>2024</v>
      </c>
      <c r="B30" s="12" t="s">
        <v>102</v>
      </c>
      <c r="C30" s="12" t="s">
        <v>160</v>
      </c>
      <c r="D30" s="14" t="n">
        <v>55.44</v>
      </c>
      <c r="E30" s="14" t="n">
        <v>-86.47</v>
      </c>
      <c r="F30" s="15" t="n">
        <v>10</v>
      </c>
      <c r="G30" s="21" t="n">
        <v>0</v>
      </c>
      <c r="H30" s="19" t="n">
        <v>0</v>
      </c>
      <c r="I30" s="19" t="n">
        <f aca="false">H30+F30</f>
        <v>10</v>
      </c>
      <c r="J30" s="23" t="n">
        <f aca="false">IFERROR(INDEX('2. Core Log'!$G$5:$G$20,MATCH(B30,'2. Core Log'!$A$5:$A$20,0)),1)</f>
        <v>1</v>
      </c>
      <c r="K30" s="19" t="n">
        <f aca="false">H30*J30</f>
        <v>0</v>
      </c>
      <c r="L30" s="19" t="n">
        <f aca="false">I30*J30</f>
        <v>10</v>
      </c>
      <c r="M30" s="24" t="n">
        <v>1.2</v>
      </c>
      <c r="N30" s="21" t="n">
        <v>14.65</v>
      </c>
      <c r="O30" s="21" t="n">
        <v>8.5</v>
      </c>
      <c r="P30" s="19" t="n">
        <f aca="false">IF(O30="",N30*$C$2,O30)</f>
        <v>8.5</v>
      </c>
      <c r="Q30" s="25" t="n">
        <f aca="false">M30*P30/100*(1-G30)</f>
        <v>0.102</v>
      </c>
      <c r="R30" s="26" t="n">
        <f aca="false">Q30*F30</f>
        <v>1.02</v>
      </c>
      <c r="S30" s="16" t="n">
        <f aca="false">R30*10</f>
        <v>10.2</v>
      </c>
      <c r="T30" s="19" t="n">
        <f aca="false">S30*10</f>
        <v>102</v>
      </c>
      <c r="U30" s="16" t="n">
        <f aca="false">MAX(0,MIN($L30,15)-MAX($K30,0))*$Q30*10</f>
        <v>10.2</v>
      </c>
      <c r="V30" s="16" t="n">
        <f aca="false">MAX(0,MIN($L30,30)-MAX($K30,15))*$Q30*10</f>
        <v>0</v>
      </c>
      <c r="W30" s="16" t="n">
        <f aca="false">MAX(0,MIN($L30,50)-MAX($K30,30))*$Q30*10</f>
        <v>0</v>
      </c>
      <c r="X30" s="16" t="n">
        <f aca="false">MAX(0,MIN($L30,100)-MAX($K30,50))*$Q30*10</f>
        <v>0</v>
      </c>
      <c r="Y30" s="14" t="n">
        <v>0.102</v>
      </c>
      <c r="Z30" s="27" t="n">
        <f aca="false">Q30-Y30</f>
        <v>0</v>
      </c>
    </row>
    <row r="31" customFormat="false" ht="15" hidden="false" customHeight="false" outlineLevel="0" collapsed="false">
      <c r="A31" s="13" t="n">
        <v>2024</v>
      </c>
      <c r="B31" s="12" t="s">
        <v>102</v>
      </c>
      <c r="C31" s="12" t="s">
        <v>161</v>
      </c>
      <c r="D31" s="14" t="n">
        <v>55.44</v>
      </c>
      <c r="E31" s="14" t="n">
        <v>-86.47</v>
      </c>
      <c r="F31" s="15" t="n">
        <v>15</v>
      </c>
      <c r="G31" s="21" t="n">
        <v>0</v>
      </c>
      <c r="H31" s="19" t="n">
        <f aca="false">I30</f>
        <v>10</v>
      </c>
      <c r="I31" s="19" t="n">
        <f aca="false">H31+F31</f>
        <v>25</v>
      </c>
      <c r="J31" s="23" t="n">
        <f aca="false">IFERROR(INDEX('2. Core Log'!$G$5:$G$20,MATCH(B31,'2. Core Log'!$A$5:$A$20,0)),1)</f>
        <v>1</v>
      </c>
      <c r="K31" s="19" t="n">
        <f aca="false">H31*J31</f>
        <v>10</v>
      </c>
      <c r="L31" s="19" t="n">
        <f aca="false">I31*J31</f>
        <v>25</v>
      </c>
      <c r="M31" s="24" t="n">
        <v>1.25</v>
      </c>
      <c r="N31" s="21" t="n">
        <v>14.34</v>
      </c>
      <c r="O31" s="21" t="n">
        <v>8.32</v>
      </c>
      <c r="P31" s="19" t="n">
        <f aca="false">IF(O31="",N31*$C$2,O31)</f>
        <v>8.32</v>
      </c>
      <c r="Q31" s="25" t="n">
        <f aca="false">M31*P31/100*(1-G31)</f>
        <v>0.104</v>
      </c>
      <c r="R31" s="26" t="n">
        <f aca="false">Q31*F31</f>
        <v>1.56</v>
      </c>
      <c r="S31" s="16" t="n">
        <f aca="false">R31*10</f>
        <v>15.6</v>
      </c>
      <c r="T31" s="19" t="n">
        <f aca="false">S31*10</f>
        <v>156</v>
      </c>
      <c r="U31" s="16" t="n">
        <f aca="false">MAX(0,MIN($L31,15)-MAX($K31,0))*$Q31*10</f>
        <v>5.2</v>
      </c>
      <c r="V31" s="16" t="n">
        <f aca="false">MAX(0,MIN($L31,30)-MAX($K31,15))*$Q31*10</f>
        <v>10.4</v>
      </c>
      <c r="W31" s="16" t="n">
        <f aca="false">MAX(0,MIN($L31,50)-MAX($K31,30))*$Q31*10</f>
        <v>0</v>
      </c>
      <c r="X31" s="16" t="n">
        <f aca="false">MAX(0,MIN($L31,100)-MAX($K31,50))*$Q31*10</f>
        <v>0</v>
      </c>
      <c r="Y31" s="14" t="n">
        <v>0.104</v>
      </c>
      <c r="Z31" s="27" t="n">
        <f aca="false">Q31-Y31</f>
        <v>0</v>
      </c>
    </row>
    <row r="32" customFormat="false" ht="15" hidden="false" customHeight="false" outlineLevel="0" collapsed="false">
      <c r="A32" s="13" t="n">
        <v>2024</v>
      </c>
      <c r="B32" s="12" t="s">
        <v>102</v>
      </c>
      <c r="C32" s="12" t="s">
        <v>162</v>
      </c>
      <c r="D32" s="14" t="n">
        <v>55.44</v>
      </c>
      <c r="E32" s="14" t="n">
        <v>-86.47</v>
      </c>
      <c r="F32" s="15" t="n">
        <v>15</v>
      </c>
      <c r="G32" s="21" t="n">
        <v>0</v>
      </c>
      <c r="H32" s="19" t="n">
        <f aca="false">I31</f>
        <v>25</v>
      </c>
      <c r="I32" s="19" t="n">
        <f aca="false">H32+F32</f>
        <v>40</v>
      </c>
      <c r="J32" s="23" t="n">
        <f aca="false">IFERROR(INDEX('2. Core Log'!$G$5:$G$20,MATCH(B32,'2. Core Log'!$A$5:$A$20,0)),1)</f>
        <v>1</v>
      </c>
      <c r="K32" s="19" t="n">
        <f aca="false">H32*J32</f>
        <v>25</v>
      </c>
      <c r="L32" s="19" t="n">
        <f aca="false">I32*J32</f>
        <v>40</v>
      </c>
      <c r="M32" s="24" t="n">
        <v>1</v>
      </c>
      <c r="N32" s="21" t="n">
        <v>0.69</v>
      </c>
      <c r="O32" s="21" t="n">
        <v>0.4</v>
      </c>
      <c r="P32" s="19" t="n">
        <f aca="false">IF(O32="",N32*$C$2,O32)</f>
        <v>0.4</v>
      </c>
      <c r="Q32" s="25" t="n">
        <f aca="false">M32*P32/100*(1-G32)</f>
        <v>0.004</v>
      </c>
      <c r="R32" s="26" t="n">
        <f aca="false">Q32*F32</f>
        <v>0.06</v>
      </c>
      <c r="S32" s="16" t="n">
        <f aca="false">R32*10</f>
        <v>0.6</v>
      </c>
      <c r="T32" s="19" t="n">
        <f aca="false">S32*10</f>
        <v>6</v>
      </c>
      <c r="U32" s="16" t="n">
        <f aca="false">MAX(0,MIN($L32,15)-MAX($K32,0))*$Q32*10</f>
        <v>0</v>
      </c>
      <c r="V32" s="16" t="n">
        <f aca="false">MAX(0,MIN($L32,30)-MAX($K32,15))*$Q32*10</f>
        <v>0.2</v>
      </c>
      <c r="W32" s="16" t="n">
        <f aca="false">MAX(0,MIN($L32,50)-MAX($K32,30))*$Q32*10</f>
        <v>0.4</v>
      </c>
      <c r="X32" s="16" t="n">
        <f aca="false">MAX(0,MIN($L32,100)-MAX($K32,50))*$Q32*10</f>
        <v>0</v>
      </c>
      <c r="Y32" s="14" t="n">
        <v>0.004</v>
      </c>
      <c r="Z32" s="27" t="n">
        <f aca="false">Q32-Y32</f>
        <v>0</v>
      </c>
    </row>
    <row r="33" customFormat="false" ht="15" hidden="false" customHeight="false" outlineLevel="0" collapsed="false">
      <c r="A33" s="13" t="n">
        <v>2024</v>
      </c>
      <c r="B33" s="12" t="s">
        <v>103</v>
      </c>
      <c r="C33" s="12" t="s">
        <v>163</v>
      </c>
      <c r="D33" s="14" t="n">
        <v>55.34</v>
      </c>
      <c r="E33" s="14" t="n">
        <v>-86.41</v>
      </c>
      <c r="F33" s="15" t="n">
        <v>10</v>
      </c>
      <c r="G33" s="21" t="n">
        <v>0</v>
      </c>
      <c r="H33" s="19" t="n">
        <v>0</v>
      </c>
      <c r="I33" s="19" t="n">
        <f aca="false">H33+F33</f>
        <v>10</v>
      </c>
      <c r="J33" s="23" t="n">
        <f aca="false">IFERROR(INDEX('2. Core Log'!$G$5:$G$20,MATCH(B33,'2. Core Log'!$A$5:$A$20,0)),1)</f>
        <v>1</v>
      </c>
      <c r="K33" s="19" t="n">
        <f aca="false">H33*J33</f>
        <v>0</v>
      </c>
      <c r="L33" s="19" t="n">
        <f aca="false">I33*J33</f>
        <v>10</v>
      </c>
      <c r="M33" s="24" t="n">
        <v>1.5</v>
      </c>
      <c r="N33" s="21" t="n">
        <v>5.17</v>
      </c>
      <c r="O33" s="21" t="n">
        <v>3</v>
      </c>
      <c r="P33" s="19" t="n">
        <f aca="false">IF(O33="",N33*$C$2,O33)</f>
        <v>3</v>
      </c>
      <c r="Q33" s="25" t="n">
        <f aca="false">M33*P33/100*(1-G33)</f>
        <v>0.045</v>
      </c>
      <c r="R33" s="26" t="n">
        <f aca="false">Q33*F33</f>
        <v>0.45</v>
      </c>
      <c r="S33" s="16" t="n">
        <f aca="false">R33*10</f>
        <v>4.5</v>
      </c>
      <c r="T33" s="19" t="n">
        <f aca="false">S33*10</f>
        <v>45</v>
      </c>
      <c r="U33" s="16" t="n">
        <f aca="false">MAX(0,MIN($L33,15)-MAX($K33,0))*$Q33*10</f>
        <v>4.5</v>
      </c>
      <c r="V33" s="16" t="n">
        <f aca="false">MAX(0,MIN($L33,30)-MAX($K33,15))*$Q33*10</f>
        <v>0</v>
      </c>
      <c r="W33" s="16" t="n">
        <f aca="false">MAX(0,MIN($L33,50)-MAX($K33,30))*$Q33*10</f>
        <v>0</v>
      </c>
      <c r="X33" s="16" t="n">
        <f aca="false">MAX(0,MIN($L33,100)-MAX($K33,50))*$Q33*10</f>
        <v>0</v>
      </c>
      <c r="Y33" s="14" t="n">
        <v>0.045</v>
      </c>
      <c r="Z33" s="27" t="n">
        <f aca="false">Q33-Y33</f>
        <v>0</v>
      </c>
    </row>
    <row r="34" customFormat="false" ht="15" hidden="false" customHeight="false" outlineLevel="0" collapsed="false">
      <c r="A34" s="13" t="n">
        <v>2024</v>
      </c>
      <c r="B34" s="12" t="s">
        <v>103</v>
      </c>
      <c r="C34" s="12" t="s">
        <v>164</v>
      </c>
      <c r="D34" s="14" t="n">
        <v>55.34</v>
      </c>
      <c r="E34" s="14" t="n">
        <v>-86.41</v>
      </c>
      <c r="F34" s="15" t="n">
        <v>15</v>
      </c>
      <c r="G34" s="21" t="n">
        <v>0</v>
      </c>
      <c r="H34" s="19" t="n">
        <f aca="false">I33</f>
        <v>10</v>
      </c>
      <c r="I34" s="19" t="n">
        <f aca="false">H34+F34</f>
        <v>25</v>
      </c>
      <c r="J34" s="23" t="n">
        <f aca="false">IFERROR(INDEX('2. Core Log'!$G$5:$G$20,MATCH(B34,'2. Core Log'!$A$5:$A$20,0)),1)</f>
        <v>1</v>
      </c>
      <c r="K34" s="19" t="n">
        <f aca="false">H34*J34</f>
        <v>10</v>
      </c>
      <c r="L34" s="19" t="n">
        <f aca="false">I34*J34</f>
        <v>25</v>
      </c>
      <c r="M34" s="24" t="n">
        <v>1</v>
      </c>
      <c r="N34" s="21" t="n">
        <v>7.93</v>
      </c>
      <c r="O34" s="21" t="n">
        <v>4.6</v>
      </c>
      <c r="P34" s="19" t="n">
        <f aca="false">IF(O34="",N34*$C$2,O34)</f>
        <v>4.6</v>
      </c>
      <c r="Q34" s="25" t="n">
        <f aca="false">M34*P34/100*(1-G34)</f>
        <v>0.046</v>
      </c>
      <c r="R34" s="26" t="n">
        <f aca="false">Q34*F34</f>
        <v>0.69</v>
      </c>
      <c r="S34" s="16" t="n">
        <f aca="false">R34*10</f>
        <v>6.9</v>
      </c>
      <c r="T34" s="19" t="n">
        <f aca="false">S34*10</f>
        <v>69</v>
      </c>
      <c r="U34" s="16" t="n">
        <f aca="false">MAX(0,MIN($L34,15)-MAX($K34,0))*$Q34*10</f>
        <v>2.3</v>
      </c>
      <c r="V34" s="16" t="n">
        <f aca="false">MAX(0,MIN($L34,30)-MAX($K34,15))*$Q34*10</f>
        <v>4.6</v>
      </c>
      <c r="W34" s="16" t="n">
        <f aca="false">MAX(0,MIN($L34,50)-MAX($K34,30))*$Q34*10</f>
        <v>0</v>
      </c>
      <c r="X34" s="16" t="n">
        <f aca="false">MAX(0,MIN($L34,100)-MAX($K34,50))*$Q34*10</f>
        <v>0</v>
      </c>
      <c r="Y34" s="14" t="n">
        <v>0.046</v>
      </c>
      <c r="Z34" s="27" t="n">
        <f aca="false">Q34-Y34</f>
        <v>0</v>
      </c>
    </row>
    <row r="35" customFormat="false" ht="15" hidden="false" customHeight="false" outlineLevel="0" collapsed="false">
      <c r="A35" s="13" t="n">
        <v>2024</v>
      </c>
      <c r="B35" s="12" t="s">
        <v>103</v>
      </c>
      <c r="C35" s="12" t="s">
        <v>165</v>
      </c>
      <c r="D35" s="14" t="n">
        <v>55.34</v>
      </c>
      <c r="E35" s="14" t="n">
        <v>-86.41</v>
      </c>
      <c r="F35" s="15" t="n">
        <v>15</v>
      </c>
      <c r="G35" s="21" t="n">
        <v>0</v>
      </c>
      <c r="H35" s="19" t="n">
        <f aca="false">I34</f>
        <v>25</v>
      </c>
      <c r="I35" s="19" t="n">
        <f aca="false">H35+F35</f>
        <v>40</v>
      </c>
      <c r="J35" s="23" t="n">
        <f aca="false">IFERROR(INDEX('2. Core Log'!$G$5:$G$20,MATCH(B35,'2. Core Log'!$A$5:$A$20,0)),1)</f>
        <v>1</v>
      </c>
      <c r="K35" s="19" t="n">
        <f aca="false">H35*J35</f>
        <v>25</v>
      </c>
      <c r="L35" s="19" t="n">
        <f aca="false">I35*J35</f>
        <v>40</v>
      </c>
      <c r="M35" s="24" t="n">
        <v>1</v>
      </c>
      <c r="N35" s="21" t="n">
        <v>2.07</v>
      </c>
      <c r="O35" s="21" t="n">
        <v>1.2</v>
      </c>
      <c r="P35" s="19" t="n">
        <f aca="false">IF(O35="",N35*$C$2,O35)</f>
        <v>1.2</v>
      </c>
      <c r="Q35" s="25" t="n">
        <f aca="false">M35*P35/100*(1-G35)</f>
        <v>0.012</v>
      </c>
      <c r="R35" s="26" t="n">
        <f aca="false">Q35*F35</f>
        <v>0.18</v>
      </c>
      <c r="S35" s="16" t="n">
        <f aca="false">R35*10</f>
        <v>1.8</v>
      </c>
      <c r="T35" s="19" t="n">
        <f aca="false">S35*10</f>
        <v>18</v>
      </c>
      <c r="U35" s="16" t="n">
        <f aca="false">MAX(0,MIN($L35,15)-MAX($K35,0))*$Q35*10</f>
        <v>0</v>
      </c>
      <c r="V35" s="16" t="n">
        <f aca="false">MAX(0,MIN($L35,30)-MAX($K35,15))*$Q35*10</f>
        <v>0.6</v>
      </c>
      <c r="W35" s="16" t="n">
        <f aca="false">MAX(0,MIN($L35,50)-MAX($K35,30))*$Q35*10</f>
        <v>1.2</v>
      </c>
      <c r="X35" s="16" t="n">
        <f aca="false">MAX(0,MIN($L35,100)-MAX($K35,50))*$Q35*10</f>
        <v>0</v>
      </c>
      <c r="Y35" s="14" t="n">
        <v>0.012</v>
      </c>
      <c r="Z35" s="27" t="n">
        <f aca="false">Q35-Y35</f>
        <v>0</v>
      </c>
    </row>
    <row r="36" customFormat="false" ht="15" hidden="false" customHeight="false" outlineLevel="0" collapsed="false">
      <c r="A36" s="13" t="n">
        <v>2024</v>
      </c>
      <c r="B36" s="12" t="s">
        <v>104</v>
      </c>
      <c r="C36" s="12" t="s">
        <v>166</v>
      </c>
      <c r="D36" s="14" t="n">
        <v>55.43</v>
      </c>
      <c r="E36" s="14" t="n">
        <v>-86.39</v>
      </c>
      <c r="F36" s="15" t="n">
        <v>10</v>
      </c>
      <c r="G36" s="21" t="n">
        <v>0</v>
      </c>
      <c r="H36" s="19" t="n">
        <v>0</v>
      </c>
      <c r="I36" s="19" t="n">
        <f aca="false">H36+F36</f>
        <v>10</v>
      </c>
      <c r="J36" s="23" t="n">
        <f aca="false">IFERROR(INDEX('2. Core Log'!$G$5:$G$20,MATCH(B36,'2. Core Log'!$A$5:$A$20,0)),1)</f>
        <v>1</v>
      </c>
      <c r="K36" s="19" t="n">
        <f aca="false">H36*J36</f>
        <v>0</v>
      </c>
      <c r="L36" s="19" t="n">
        <f aca="false">I36*J36</f>
        <v>10</v>
      </c>
      <c r="M36" s="24" t="n">
        <v>0.6</v>
      </c>
      <c r="N36" s="21" t="n">
        <v>21.55</v>
      </c>
      <c r="O36" s="21" t="n">
        <v>12.5</v>
      </c>
      <c r="P36" s="19" t="n">
        <f aca="false">IF(O36="",N36*$C$2,O36)</f>
        <v>12.5</v>
      </c>
      <c r="Q36" s="25" t="n">
        <f aca="false">M36*P36/100*(1-G36)</f>
        <v>0.075</v>
      </c>
      <c r="R36" s="26" t="n">
        <f aca="false">Q36*F36</f>
        <v>0.75</v>
      </c>
      <c r="S36" s="16" t="n">
        <f aca="false">R36*10</f>
        <v>7.5</v>
      </c>
      <c r="T36" s="19" t="n">
        <f aca="false">S36*10</f>
        <v>75</v>
      </c>
      <c r="U36" s="16" t="n">
        <f aca="false">MAX(0,MIN($L36,15)-MAX($K36,0))*$Q36*10</f>
        <v>7.5</v>
      </c>
      <c r="V36" s="16" t="n">
        <f aca="false">MAX(0,MIN($L36,30)-MAX($K36,15))*$Q36*10</f>
        <v>0</v>
      </c>
      <c r="W36" s="16" t="n">
        <f aca="false">MAX(0,MIN($L36,50)-MAX($K36,30))*$Q36*10</f>
        <v>0</v>
      </c>
      <c r="X36" s="16" t="n">
        <f aca="false">MAX(0,MIN($L36,100)-MAX($K36,50))*$Q36*10</f>
        <v>0</v>
      </c>
      <c r="Y36" s="14" t="n">
        <v>0.075</v>
      </c>
      <c r="Z36" s="27" t="n">
        <f aca="false">Q36-Y36</f>
        <v>0</v>
      </c>
    </row>
    <row r="37" customFormat="false" ht="15" hidden="false" customHeight="false" outlineLevel="0" collapsed="false">
      <c r="A37" s="13" t="n">
        <v>2024</v>
      </c>
      <c r="B37" s="12" t="s">
        <v>104</v>
      </c>
      <c r="C37" s="12" t="s">
        <v>167</v>
      </c>
      <c r="D37" s="14" t="n">
        <v>55.43</v>
      </c>
      <c r="E37" s="14" t="n">
        <v>-86.39</v>
      </c>
      <c r="F37" s="15" t="n">
        <v>15</v>
      </c>
      <c r="G37" s="21" t="n">
        <v>0</v>
      </c>
      <c r="H37" s="19" t="n">
        <f aca="false">I36</f>
        <v>10</v>
      </c>
      <c r="I37" s="19" t="n">
        <f aca="false">H37+F37</f>
        <v>25</v>
      </c>
      <c r="J37" s="23" t="n">
        <f aca="false">IFERROR(INDEX('2. Core Log'!$G$5:$G$20,MATCH(B37,'2. Core Log'!$A$5:$A$20,0)),1)</f>
        <v>1</v>
      </c>
      <c r="K37" s="19" t="n">
        <f aca="false">H37*J37</f>
        <v>10</v>
      </c>
      <c r="L37" s="19" t="n">
        <f aca="false">I37*J37</f>
        <v>25</v>
      </c>
      <c r="M37" s="24" t="n">
        <v>0.8</v>
      </c>
      <c r="N37" s="21" t="n">
        <v>15.95</v>
      </c>
      <c r="O37" s="21" t="n">
        <v>9.25</v>
      </c>
      <c r="P37" s="19" t="n">
        <f aca="false">IF(O37="",N37*$C$2,O37)</f>
        <v>9.25</v>
      </c>
      <c r="Q37" s="25" t="n">
        <f aca="false">M37*P37/100*(1-G37)</f>
        <v>0.074</v>
      </c>
      <c r="R37" s="26" t="n">
        <f aca="false">Q37*F37</f>
        <v>1.11</v>
      </c>
      <c r="S37" s="16" t="n">
        <f aca="false">R37*10</f>
        <v>11.1</v>
      </c>
      <c r="T37" s="19" t="n">
        <f aca="false">S37*10</f>
        <v>111</v>
      </c>
      <c r="U37" s="16" t="n">
        <f aca="false">MAX(0,MIN($L37,15)-MAX($K37,0))*$Q37*10</f>
        <v>3.7</v>
      </c>
      <c r="V37" s="16" t="n">
        <f aca="false">MAX(0,MIN($L37,30)-MAX($K37,15))*$Q37*10</f>
        <v>7.4</v>
      </c>
      <c r="W37" s="16" t="n">
        <f aca="false">MAX(0,MIN($L37,50)-MAX($K37,30))*$Q37*10</f>
        <v>0</v>
      </c>
      <c r="X37" s="16" t="n">
        <f aca="false">MAX(0,MIN($L37,100)-MAX($K37,50))*$Q37*10</f>
        <v>0</v>
      </c>
      <c r="Y37" s="14" t="n">
        <v>0.074</v>
      </c>
      <c r="Z37" s="27" t="n">
        <f aca="false">Q37-Y37</f>
        <v>0</v>
      </c>
    </row>
    <row r="38" customFormat="false" ht="15" hidden="false" customHeight="false" outlineLevel="0" collapsed="false">
      <c r="A38" s="13" t="n">
        <v>2024</v>
      </c>
      <c r="B38" s="12" t="s">
        <v>104</v>
      </c>
      <c r="C38" s="12" t="s">
        <v>168</v>
      </c>
      <c r="D38" s="14" t="n">
        <v>55.43</v>
      </c>
      <c r="E38" s="14" t="n">
        <v>-86.39</v>
      </c>
      <c r="F38" s="15" t="n">
        <v>15</v>
      </c>
      <c r="G38" s="21" t="n">
        <v>0</v>
      </c>
      <c r="H38" s="19" t="n">
        <f aca="false">I37</f>
        <v>25</v>
      </c>
      <c r="I38" s="19" t="n">
        <f aca="false">H38+F38</f>
        <v>40</v>
      </c>
      <c r="J38" s="23" t="n">
        <f aca="false">IFERROR(INDEX('2. Core Log'!$G$5:$G$20,MATCH(B38,'2. Core Log'!$A$5:$A$20,0)),1)</f>
        <v>1</v>
      </c>
      <c r="K38" s="19" t="n">
        <f aca="false">H38*J38</f>
        <v>25</v>
      </c>
      <c r="L38" s="19" t="n">
        <f aca="false">I38*J38</f>
        <v>40</v>
      </c>
      <c r="M38" s="24" t="n">
        <v>0.8</v>
      </c>
      <c r="N38" s="21" t="n">
        <v>1.72</v>
      </c>
      <c r="O38" s="21" t="n">
        <v>1</v>
      </c>
      <c r="P38" s="19" t="n">
        <f aca="false">IF(O38="",N38*$C$2,O38)</f>
        <v>1</v>
      </c>
      <c r="Q38" s="25" t="n">
        <f aca="false">M38*P38/100*(1-G38)</f>
        <v>0.008</v>
      </c>
      <c r="R38" s="26" t="n">
        <f aca="false">Q38*F38</f>
        <v>0.12</v>
      </c>
      <c r="S38" s="16" t="n">
        <f aca="false">R38*10</f>
        <v>1.2</v>
      </c>
      <c r="T38" s="19" t="n">
        <f aca="false">S38*10</f>
        <v>12</v>
      </c>
      <c r="U38" s="16" t="n">
        <f aca="false">MAX(0,MIN($L38,15)-MAX($K38,0))*$Q38*10</f>
        <v>0</v>
      </c>
      <c r="V38" s="16" t="n">
        <f aca="false">MAX(0,MIN($L38,30)-MAX($K38,15))*$Q38*10</f>
        <v>0.4</v>
      </c>
      <c r="W38" s="16" t="n">
        <f aca="false">MAX(0,MIN($L38,50)-MAX($K38,30))*$Q38*10</f>
        <v>0.8</v>
      </c>
      <c r="X38" s="16" t="n">
        <f aca="false">MAX(0,MIN($L38,100)-MAX($K38,50))*$Q38*10</f>
        <v>0</v>
      </c>
      <c r="Y38" s="14" t="n">
        <v>0.008</v>
      </c>
      <c r="Z38" s="27" t="n">
        <f aca="false">Q38-Y38</f>
        <v>0</v>
      </c>
    </row>
    <row r="39" customFormat="false" ht="15" hidden="false" customHeight="false" outlineLevel="0" collapsed="false">
      <c r="A39" s="13" t="n">
        <v>2024</v>
      </c>
      <c r="B39" s="12" t="s">
        <v>105</v>
      </c>
      <c r="C39" s="12" t="s">
        <v>169</v>
      </c>
      <c r="D39" s="14" t="n">
        <v>55.38</v>
      </c>
      <c r="E39" s="14" t="n">
        <v>-86.36</v>
      </c>
      <c r="F39" s="15" t="n">
        <v>10</v>
      </c>
      <c r="G39" s="21" t="n">
        <v>0</v>
      </c>
      <c r="H39" s="19" t="n">
        <v>0</v>
      </c>
      <c r="I39" s="19" t="n">
        <f aca="false">H39+F39</f>
        <v>10</v>
      </c>
      <c r="J39" s="23" t="n">
        <f aca="false">IFERROR(INDEX('2. Core Log'!$G$5:$G$20,MATCH(B39,'2. Core Log'!$A$5:$A$20,0)),1)</f>
        <v>1</v>
      </c>
      <c r="K39" s="19" t="n">
        <f aca="false">H39*J39</f>
        <v>0</v>
      </c>
      <c r="L39" s="19" t="n">
        <f aca="false">I39*J39</f>
        <v>10</v>
      </c>
      <c r="M39" s="24" t="n">
        <v>0.6</v>
      </c>
      <c r="N39" s="21" t="n">
        <v>9.48</v>
      </c>
      <c r="O39" s="21" t="n">
        <v>5.5</v>
      </c>
      <c r="P39" s="19" t="n">
        <f aca="false">IF(O39="",N39*$C$2,O39)</f>
        <v>5.5</v>
      </c>
      <c r="Q39" s="25" t="n">
        <f aca="false">M39*P39/100*(1-G39)</f>
        <v>0.033</v>
      </c>
      <c r="R39" s="26" t="n">
        <f aca="false">Q39*F39</f>
        <v>0.33</v>
      </c>
      <c r="S39" s="16" t="n">
        <f aca="false">R39*10</f>
        <v>3.3</v>
      </c>
      <c r="T39" s="19" t="n">
        <f aca="false">S39*10</f>
        <v>33</v>
      </c>
      <c r="U39" s="16" t="n">
        <f aca="false">MAX(0,MIN($L39,15)-MAX($K39,0))*$Q39*10</f>
        <v>3.3</v>
      </c>
      <c r="V39" s="16" t="n">
        <f aca="false">MAX(0,MIN($L39,30)-MAX($K39,15))*$Q39*10</f>
        <v>0</v>
      </c>
      <c r="W39" s="16" t="n">
        <f aca="false">MAX(0,MIN($L39,50)-MAX($K39,30))*$Q39*10</f>
        <v>0</v>
      </c>
      <c r="X39" s="16" t="n">
        <f aca="false">MAX(0,MIN($L39,100)-MAX($K39,50))*$Q39*10</f>
        <v>0</v>
      </c>
      <c r="Y39" s="14" t="n">
        <v>0.033</v>
      </c>
      <c r="Z39" s="27" t="n">
        <f aca="false">Q39-Y39</f>
        <v>0</v>
      </c>
    </row>
    <row r="40" customFormat="false" ht="15" hidden="false" customHeight="false" outlineLevel="0" collapsed="false">
      <c r="A40" s="13" t="n">
        <v>2024</v>
      </c>
      <c r="B40" s="12" t="s">
        <v>105</v>
      </c>
      <c r="C40" s="12" t="s">
        <v>170</v>
      </c>
      <c r="D40" s="14" t="n">
        <v>55.38</v>
      </c>
      <c r="E40" s="14" t="n">
        <v>-86.36</v>
      </c>
      <c r="F40" s="15" t="n">
        <v>15</v>
      </c>
      <c r="G40" s="21" t="n">
        <v>0</v>
      </c>
      <c r="H40" s="19" t="n">
        <f aca="false">I39</f>
        <v>10</v>
      </c>
      <c r="I40" s="19" t="n">
        <f aca="false">H40+F40</f>
        <v>25</v>
      </c>
      <c r="J40" s="23" t="n">
        <f aca="false">IFERROR(INDEX('2. Core Log'!$G$5:$G$20,MATCH(B40,'2. Core Log'!$A$5:$A$20,0)),1)</f>
        <v>1</v>
      </c>
      <c r="K40" s="19" t="n">
        <f aca="false">H40*J40</f>
        <v>10</v>
      </c>
      <c r="L40" s="19" t="n">
        <f aca="false">I40*J40</f>
        <v>25</v>
      </c>
      <c r="M40" s="24" t="n">
        <v>1.25</v>
      </c>
      <c r="N40" s="21" t="n">
        <v>4.69</v>
      </c>
      <c r="O40" s="21" t="n">
        <v>2.72</v>
      </c>
      <c r="P40" s="19" t="n">
        <f aca="false">IF(O40="",N40*$C$2,O40)</f>
        <v>2.72</v>
      </c>
      <c r="Q40" s="25" t="n">
        <f aca="false">M40*P40/100*(1-G40)</f>
        <v>0.034</v>
      </c>
      <c r="R40" s="26" t="n">
        <f aca="false">Q40*F40</f>
        <v>0.51</v>
      </c>
      <c r="S40" s="16" t="n">
        <f aca="false">R40*10</f>
        <v>5.1</v>
      </c>
      <c r="T40" s="19" t="n">
        <f aca="false">S40*10</f>
        <v>51</v>
      </c>
      <c r="U40" s="16" t="n">
        <f aca="false">MAX(0,MIN($L40,15)-MAX($K40,0))*$Q40*10</f>
        <v>1.7</v>
      </c>
      <c r="V40" s="16" t="n">
        <f aca="false">MAX(0,MIN($L40,30)-MAX($K40,15))*$Q40*10</f>
        <v>3.4</v>
      </c>
      <c r="W40" s="16" t="n">
        <f aca="false">MAX(0,MIN($L40,50)-MAX($K40,30))*$Q40*10</f>
        <v>0</v>
      </c>
      <c r="X40" s="16" t="n">
        <f aca="false">MAX(0,MIN($L40,100)-MAX($K40,50))*$Q40*10</f>
        <v>0</v>
      </c>
      <c r="Y40" s="14" t="n">
        <v>0.034</v>
      </c>
      <c r="Z40" s="27" t="n">
        <f aca="false">Q40-Y40</f>
        <v>0</v>
      </c>
    </row>
    <row r="41" customFormat="false" ht="15" hidden="false" customHeight="false" outlineLevel="0" collapsed="false">
      <c r="A41" s="13" t="n">
        <v>2024</v>
      </c>
      <c r="B41" s="12" t="s">
        <v>105</v>
      </c>
      <c r="C41" s="12" t="s">
        <v>171</v>
      </c>
      <c r="D41" s="14" t="n">
        <v>55.38</v>
      </c>
      <c r="E41" s="14" t="n">
        <v>-86.36</v>
      </c>
      <c r="F41" s="15" t="n">
        <v>15</v>
      </c>
      <c r="G41" s="21" t="n">
        <v>0</v>
      </c>
      <c r="H41" s="19" t="n">
        <f aca="false">I40</f>
        <v>25</v>
      </c>
      <c r="I41" s="19" t="n">
        <f aca="false">H41+F41</f>
        <v>40</v>
      </c>
      <c r="J41" s="23" t="n">
        <f aca="false">IFERROR(INDEX('2. Core Log'!$G$5:$G$20,MATCH(B41,'2. Core Log'!$A$5:$A$20,0)),1)</f>
        <v>1</v>
      </c>
      <c r="K41" s="19" t="n">
        <f aca="false">H41*J41</f>
        <v>25</v>
      </c>
      <c r="L41" s="19" t="n">
        <f aca="false">I41*J41</f>
        <v>40</v>
      </c>
      <c r="M41" s="24" t="n">
        <v>1.25</v>
      </c>
      <c r="N41" s="21" t="n">
        <v>1.66</v>
      </c>
      <c r="O41" s="21" t="n">
        <v>0.96</v>
      </c>
      <c r="P41" s="19" t="n">
        <f aca="false">IF(O41="",N41*$C$2,O41)</f>
        <v>0.96</v>
      </c>
      <c r="Q41" s="25" t="n">
        <f aca="false">M41*P41/100*(1-G41)</f>
        <v>0.012</v>
      </c>
      <c r="R41" s="26" t="n">
        <f aca="false">Q41*F41</f>
        <v>0.18</v>
      </c>
      <c r="S41" s="16" t="n">
        <f aca="false">R41*10</f>
        <v>1.8</v>
      </c>
      <c r="T41" s="19" t="n">
        <f aca="false">S41*10</f>
        <v>18</v>
      </c>
      <c r="U41" s="16" t="n">
        <f aca="false">MAX(0,MIN($L41,15)-MAX($K41,0))*$Q41*10</f>
        <v>0</v>
      </c>
      <c r="V41" s="16" t="n">
        <f aca="false">MAX(0,MIN($L41,30)-MAX($K41,15))*$Q41*10</f>
        <v>0.6</v>
      </c>
      <c r="W41" s="16" t="n">
        <f aca="false">MAX(0,MIN($L41,50)-MAX($K41,30))*$Q41*10</f>
        <v>1.2</v>
      </c>
      <c r="X41" s="16" t="n">
        <f aca="false">MAX(0,MIN($L41,100)-MAX($K41,50))*$Q41*10</f>
        <v>0</v>
      </c>
      <c r="Y41" s="14" t="n">
        <v>0.012</v>
      </c>
      <c r="Z41" s="27" t="n">
        <f aca="false">Q41-Y41</f>
        <v>0</v>
      </c>
    </row>
    <row r="42" customFormat="false" ht="15" hidden="false" customHeight="false" outlineLevel="0" collapsed="false">
      <c r="A42" s="13" t="n">
        <v>2024</v>
      </c>
      <c r="B42" s="12" t="s">
        <v>106</v>
      </c>
      <c r="C42" s="12" t="s">
        <v>172</v>
      </c>
      <c r="D42" s="14" t="n">
        <v>55.33</v>
      </c>
      <c r="E42" s="14" t="n">
        <v>-86.33</v>
      </c>
      <c r="F42" s="15" t="n">
        <v>10</v>
      </c>
      <c r="G42" s="21" t="n">
        <v>0</v>
      </c>
      <c r="H42" s="19" t="n">
        <v>0</v>
      </c>
      <c r="I42" s="19" t="n">
        <f aca="false">H42+F42</f>
        <v>10</v>
      </c>
      <c r="J42" s="23" t="n">
        <f aca="false">IFERROR(INDEX('2. Core Log'!$G$5:$G$20,MATCH(B42,'2. Core Log'!$A$5:$A$20,0)),1)</f>
        <v>1</v>
      </c>
      <c r="K42" s="19" t="n">
        <f aca="false">H42*J42</f>
        <v>0</v>
      </c>
      <c r="L42" s="19" t="n">
        <f aca="false">I42*J42</f>
        <v>10</v>
      </c>
      <c r="M42" s="24" t="n">
        <v>0.75</v>
      </c>
      <c r="N42" s="21" t="n">
        <v>24.14</v>
      </c>
      <c r="O42" s="21" t="n">
        <v>14</v>
      </c>
      <c r="P42" s="19" t="n">
        <f aca="false">IF(O42="",N42*$C$2,O42)</f>
        <v>14</v>
      </c>
      <c r="Q42" s="25" t="n">
        <f aca="false">M42*P42/100*(1-G42)</f>
        <v>0.105</v>
      </c>
      <c r="R42" s="26" t="n">
        <f aca="false">Q42*F42</f>
        <v>1.05</v>
      </c>
      <c r="S42" s="16" t="n">
        <f aca="false">R42*10</f>
        <v>10.5</v>
      </c>
      <c r="T42" s="19" t="n">
        <f aca="false">S42*10</f>
        <v>105</v>
      </c>
      <c r="U42" s="16" t="n">
        <f aca="false">MAX(0,MIN($L42,15)-MAX($K42,0))*$Q42*10</f>
        <v>10.5</v>
      </c>
      <c r="V42" s="16" t="n">
        <f aca="false">MAX(0,MIN($L42,30)-MAX($K42,15))*$Q42*10</f>
        <v>0</v>
      </c>
      <c r="W42" s="16" t="n">
        <f aca="false">MAX(0,MIN($L42,50)-MAX($K42,30))*$Q42*10</f>
        <v>0</v>
      </c>
      <c r="X42" s="16" t="n">
        <f aca="false">MAX(0,MIN($L42,100)-MAX($K42,50))*$Q42*10</f>
        <v>0</v>
      </c>
      <c r="Y42" s="14" t="n">
        <v>0.105</v>
      </c>
      <c r="Z42" s="27" t="n">
        <f aca="false">Q42-Y42</f>
        <v>0</v>
      </c>
    </row>
    <row r="43" customFormat="false" ht="15" hidden="false" customHeight="false" outlineLevel="0" collapsed="false">
      <c r="A43" s="13" t="n">
        <v>2024</v>
      </c>
      <c r="B43" s="12" t="s">
        <v>106</v>
      </c>
      <c r="C43" s="12" t="s">
        <v>173</v>
      </c>
      <c r="D43" s="14" t="n">
        <v>55.33</v>
      </c>
      <c r="E43" s="14" t="n">
        <v>-86.33</v>
      </c>
      <c r="F43" s="15" t="n">
        <v>15</v>
      </c>
      <c r="G43" s="21" t="n">
        <v>0</v>
      </c>
      <c r="H43" s="19" t="n">
        <f aca="false">I42</f>
        <v>10</v>
      </c>
      <c r="I43" s="19" t="n">
        <f aca="false">H43+F43</f>
        <v>25</v>
      </c>
      <c r="J43" s="23" t="n">
        <f aca="false">IFERROR(INDEX('2. Core Log'!$G$5:$G$20,MATCH(B43,'2. Core Log'!$A$5:$A$20,0)),1)</f>
        <v>1</v>
      </c>
      <c r="K43" s="19" t="n">
        <f aca="false">H43*J43</f>
        <v>10</v>
      </c>
      <c r="L43" s="19" t="n">
        <f aca="false">I43*J43</f>
        <v>25</v>
      </c>
      <c r="M43" s="24" t="n">
        <v>1</v>
      </c>
      <c r="N43" s="21" t="n">
        <v>18.27</v>
      </c>
      <c r="O43" s="21" t="n">
        <v>10.6</v>
      </c>
      <c r="P43" s="19" t="n">
        <f aca="false">IF(O43="",N43*$C$2,O43)</f>
        <v>10.6</v>
      </c>
      <c r="Q43" s="25" t="n">
        <f aca="false">M43*P43/100*(1-G43)</f>
        <v>0.106</v>
      </c>
      <c r="R43" s="26" t="n">
        <f aca="false">Q43*F43</f>
        <v>1.59</v>
      </c>
      <c r="S43" s="16" t="n">
        <f aca="false">R43*10</f>
        <v>15.9</v>
      </c>
      <c r="T43" s="19" t="n">
        <f aca="false">S43*10</f>
        <v>159</v>
      </c>
      <c r="U43" s="16" t="n">
        <f aca="false">MAX(0,MIN($L43,15)-MAX($K43,0))*$Q43*10</f>
        <v>5.3</v>
      </c>
      <c r="V43" s="16" t="n">
        <f aca="false">MAX(0,MIN($L43,30)-MAX($K43,15))*$Q43*10</f>
        <v>10.6</v>
      </c>
      <c r="W43" s="16" t="n">
        <f aca="false">MAX(0,MIN($L43,50)-MAX($K43,30))*$Q43*10</f>
        <v>0</v>
      </c>
      <c r="X43" s="16" t="n">
        <f aca="false">MAX(0,MIN($L43,100)-MAX($K43,50))*$Q43*10</f>
        <v>0</v>
      </c>
      <c r="Y43" s="14" t="n">
        <v>0.106</v>
      </c>
      <c r="Z43" s="27" t="n">
        <f aca="false">Q43-Y43</f>
        <v>0</v>
      </c>
    </row>
    <row r="44" customFormat="false" ht="15" hidden="false" customHeight="false" outlineLevel="0" collapsed="false">
      <c r="A44" s="13" t="n">
        <v>2024</v>
      </c>
      <c r="B44" s="12" t="s">
        <v>106</v>
      </c>
      <c r="C44" s="12" t="s">
        <v>174</v>
      </c>
      <c r="D44" s="14" t="n">
        <v>55.33</v>
      </c>
      <c r="E44" s="14" t="n">
        <v>-86.33</v>
      </c>
      <c r="F44" s="15" t="n">
        <v>15</v>
      </c>
      <c r="G44" s="21" t="n">
        <v>0</v>
      </c>
      <c r="H44" s="19" t="n">
        <f aca="false">I43</f>
        <v>25</v>
      </c>
      <c r="I44" s="19" t="n">
        <f aca="false">H44+F44</f>
        <v>40</v>
      </c>
      <c r="J44" s="23" t="n">
        <f aca="false">IFERROR(INDEX('2. Core Log'!$G$5:$G$20,MATCH(B44,'2. Core Log'!$A$5:$A$20,0)),1)</f>
        <v>1</v>
      </c>
      <c r="K44" s="19" t="n">
        <f aca="false">H44*J44</f>
        <v>25</v>
      </c>
      <c r="L44" s="19" t="n">
        <f aca="false">I44*J44</f>
        <v>40</v>
      </c>
      <c r="M44" s="24" t="n">
        <v>1.2</v>
      </c>
      <c r="N44" s="21" t="n">
        <v>1.72</v>
      </c>
      <c r="O44" s="21" t="n">
        <v>1</v>
      </c>
      <c r="P44" s="19" t="n">
        <f aca="false">IF(O44="",N44*$C$2,O44)</f>
        <v>1</v>
      </c>
      <c r="Q44" s="25" t="n">
        <f aca="false">M44*P44/100*(1-G44)</f>
        <v>0.012</v>
      </c>
      <c r="R44" s="26" t="n">
        <f aca="false">Q44*F44</f>
        <v>0.18</v>
      </c>
      <c r="S44" s="16" t="n">
        <f aca="false">R44*10</f>
        <v>1.8</v>
      </c>
      <c r="T44" s="19" t="n">
        <f aca="false">S44*10</f>
        <v>18</v>
      </c>
      <c r="U44" s="16" t="n">
        <f aca="false">MAX(0,MIN($L44,15)-MAX($K44,0))*$Q44*10</f>
        <v>0</v>
      </c>
      <c r="V44" s="16" t="n">
        <f aca="false">MAX(0,MIN($L44,30)-MAX($K44,15))*$Q44*10</f>
        <v>0.6</v>
      </c>
      <c r="W44" s="16" t="n">
        <f aca="false">MAX(0,MIN($L44,50)-MAX($K44,30))*$Q44*10</f>
        <v>1.2</v>
      </c>
      <c r="X44" s="16" t="n">
        <f aca="false">MAX(0,MIN($L44,100)-MAX($K44,50))*$Q44*10</f>
        <v>0</v>
      </c>
      <c r="Y44" s="14" t="n">
        <v>0.012</v>
      </c>
      <c r="Z44" s="27" t="n">
        <f aca="false">Q44-Y44</f>
        <v>0</v>
      </c>
    </row>
    <row r="45" customFormat="false" ht="15" hidden="false" customHeight="false" outlineLevel="0" collapsed="false">
      <c r="A45" s="13" t="n">
        <v>2024</v>
      </c>
      <c r="B45" s="12" t="s">
        <v>107</v>
      </c>
      <c r="C45" s="12" t="s">
        <v>175</v>
      </c>
      <c r="D45" s="14" t="n">
        <v>55.26</v>
      </c>
      <c r="E45" s="14" t="n">
        <v>-86.37</v>
      </c>
      <c r="F45" s="15" t="n">
        <v>10</v>
      </c>
      <c r="G45" s="21" t="n">
        <v>0</v>
      </c>
      <c r="H45" s="19" t="n">
        <v>0</v>
      </c>
      <c r="I45" s="19" t="n">
        <f aca="false">H45+F45</f>
        <v>10</v>
      </c>
      <c r="J45" s="23" t="n">
        <f aca="false">IFERROR(INDEX('2. Core Log'!$G$5:$G$20,MATCH(B45,'2. Core Log'!$A$5:$A$20,0)),1)</f>
        <v>1</v>
      </c>
      <c r="K45" s="19" t="n">
        <f aca="false">H45*J45</f>
        <v>0</v>
      </c>
      <c r="L45" s="19" t="n">
        <f aca="false">I45*J45</f>
        <v>10</v>
      </c>
      <c r="M45" s="24" t="n">
        <v>1.2</v>
      </c>
      <c r="N45" s="21" t="n">
        <v>6.03</v>
      </c>
      <c r="O45" s="21" t="n">
        <v>3.5</v>
      </c>
      <c r="P45" s="19" t="n">
        <f aca="false">IF(O45="",N45*$C$2,O45)</f>
        <v>3.5</v>
      </c>
      <c r="Q45" s="25" t="n">
        <f aca="false">M45*P45/100*(1-G45)</f>
        <v>0.042</v>
      </c>
      <c r="R45" s="26" t="n">
        <f aca="false">Q45*F45</f>
        <v>0.42</v>
      </c>
      <c r="S45" s="16" t="n">
        <f aca="false">R45*10</f>
        <v>4.2</v>
      </c>
      <c r="T45" s="19" t="n">
        <f aca="false">S45*10</f>
        <v>42</v>
      </c>
      <c r="U45" s="16" t="n">
        <f aca="false">MAX(0,MIN($L45,15)-MAX($K45,0))*$Q45*10</f>
        <v>4.2</v>
      </c>
      <c r="V45" s="16" t="n">
        <f aca="false">MAX(0,MIN($L45,30)-MAX($K45,15))*$Q45*10</f>
        <v>0</v>
      </c>
      <c r="W45" s="16" t="n">
        <f aca="false">MAX(0,MIN($L45,50)-MAX($K45,30))*$Q45*10</f>
        <v>0</v>
      </c>
      <c r="X45" s="16" t="n">
        <f aca="false">MAX(0,MIN($L45,100)-MAX($K45,50))*$Q45*10</f>
        <v>0</v>
      </c>
      <c r="Y45" s="14" t="n">
        <v>0.042</v>
      </c>
      <c r="Z45" s="27" t="n">
        <f aca="false">Q45-Y45</f>
        <v>0</v>
      </c>
    </row>
    <row r="46" customFormat="false" ht="15" hidden="false" customHeight="false" outlineLevel="0" collapsed="false">
      <c r="A46" s="13" t="n">
        <v>2024</v>
      </c>
      <c r="B46" s="12" t="s">
        <v>107</v>
      </c>
      <c r="C46" s="12" t="s">
        <v>176</v>
      </c>
      <c r="D46" s="14" t="n">
        <v>55.26</v>
      </c>
      <c r="E46" s="14" t="n">
        <v>-86.37</v>
      </c>
      <c r="F46" s="15" t="n">
        <v>15</v>
      </c>
      <c r="G46" s="21" t="n">
        <v>0</v>
      </c>
      <c r="H46" s="19" t="n">
        <f aca="false">I45</f>
        <v>10</v>
      </c>
      <c r="I46" s="19" t="n">
        <f aca="false">H46+F46</f>
        <v>25</v>
      </c>
      <c r="J46" s="23" t="n">
        <f aca="false">IFERROR(INDEX('2. Core Log'!$G$5:$G$20,MATCH(B46,'2. Core Log'!$A$5:$A$20,0)),1)</f>
        <v>1</v>
      </c>
      <c r="K46" s="19" t="n">
        <f aca="false">H46*J46</f>
        <v>10</v>
      </c>
      <c r="L46" s="19" t="n">
        <f aca="false">I46*J46</f>
        <v>25</v>
      </c>
      <c r="M46" s="24" t="n">
        <v>0.8</v>
      </c>
      <c r="N46" s="21" t="n">
        <v>9.48</v>
      </c>
      <c r="O46" s="21" t="n">
        <v>5.5</v>
      </c>
      <c r="P46" s="19" t="n">
        <f aca="false">IF(O46="",N46*$C$2,O46)</f>
        <v>5.5</v>
      </c>
      <c r="Q46" s="25" t="n">
        <f aca="false">M46*P46/100*(1-G46)</f>
        <v>0.044</v>
      </c>
      <c r="R46" s="26" t="n">
        <f aca="false">Q46*F46</f>
        <v>0.66</v>
      </c>
      <c r="S46" s="16" t="n">
        <f aca="false">R46*10</f>
        <v>6.6</v>
      </c>
      <c r="T46" s="19" t="n">
        <f aca="false">S46*10</f>
        <v>66</v>
      </c>
      <c r="U46" s="16" t="n">
        <f aca="false">MAX(0,MIN($L46,15)-MAX($K46,0))*$Q46*10</f>
        <v>2.2</v>
      </c>
      <c r="V46" s="16" t="n">
        <f aca="false">MAX(0,MIN($L46,30)-MAX($K46,15))*$Q46*10</f>
        <v>4.4</v>
      </c>
      <c r="W46" s="16" t="n">
        <f aca="false">MAX(0,MIN($L46,50)-MAX($K46,30))*$Q46*10</f>
        <v>0</v>
      </c>
      <c r="X46" s="16" t="n">
        <f aca="false">MAX(0,MIN($L46,100)-MAX($K46,50))*$Q46*10</f>
        <v>0</v>
      </c>
      <c r="Y46" s="14" t="n">
        <v>0.044</v>
      </c>
      <c r="Z46" s="27" t="n">
        <f aca="false">Q46-Y46</f>
        <v>0</v>
      </c>
    </row>
    <row r="47" customFormat="false" ht="15" hidden="false" customHeight="false" outlineLevel="0" collapsed="false">
      <c r="A47" s="13" t="n">
        <v>2024</v>
      </c>
      <c r="B47" s="12" t="s">
        <v>107</v>
      </c>
      <c r="C47" s="12" t="s">
        <v>177</v>
      </c>
      <c r="D47" s="14" t="n">
        <v>55.26</v>
      </c>
      <c r="E47" s="14" t="n">
        <v>-86.37</v>
      </c>
      <c r="F47" s="15" t="n">
        <v>15</v>
      </c>
      <c r="G47" s="21" t="n">
        <v>0</v>
      </c>
      <c r="H47" s="19" t="n">
        <f aca="false">I46</f>
        <v>25</v>
      </c>
      <c r="I47" s="19" t="n">
        <f aca="false">H47+F47</f>
        <v>40</v>
      </c>
      <c r="J47" s="23" t="n">
        <f aca="false">IFERROR(INDEX('2. Core Log'!$G$5:$G$20,MATCH(B47,'2. Core Log'!$A$5:$A$20,0)),1)</f>
        <v>1</v>
      </c>
      <c r="K47" s="19" t="n">
        <f aca="false">H47*J47</f>
        <v>25</v>
      </c>
      <c r="L47" s="19" t="n">
        <f aca="false">I47*J47</f>
        <v>40</v>
      </c>
      <c r="M47" s="24" t="n">
        <v>1</v>
      </c>
      <c r="N47" s="21" t="n">
        <v>0.69</v>
      </c>
      <c r="O47" s="21" t="n">
        <v>0.4</v>
      </c>
      <c r="P47" s="19" t="n">
        <f aca="false">IF(O47="",N47*$C$2,O47)</f>
        <v>0.4</v>
      </c>
      <c r="Q47" s="25" t="n">
        <f aca="false">M47*P47/100*(1-G47)</f>
        <v>0.004</v>
      </c>
      <c r="R47" s="26" t="n">
        <f aca="false">Q47*F47</f>
        <v>0.06</v>
      </c>
      <c r="S47" s="16" t="n">
        <f aca="false">R47*10</f>
        <v>0.6</v>
      </c>
      <c r="T47" s="19" t="n">
        <f aca="false">S47*10</f>
        <v>6</v>
      </c>
      <c r="U47" s="16" t="n">
        <f aca="false">MAX(0,MIN($L47,15)-MAX($K47,0))*$Q47*10</f>
        <v>0</v>
      </c>
      <c r="V47" s="16" t="n">
        <f aca="false">MAX(0,MIN($L47,30)-MAX($K47,15))*$Q47*10</f>
        <v>0.2</v>
      </c>
      <c r="W47" s="16" t="n">
        <f aca="false">MAX(0,MIN($L47,50)-MAX($K47,30))*$Q47*10</f>
        <v>0.4</v>
      </c>
      <c r="X47" s="16" t="n">
        <f aca="false">MAX(0,MIN($L47,100)-MAX($K47,50))*$Q47*10</f>
        <v>0</v>
      </c>
      <c r="Y47" s="14" t="n">
        <v>0.004</v>
      </c>
      <c r="Z47" s="27" t="n">
        <f aca="false">Q47-Y47</f>
        <v>0</v>
      </c>
    </row>
    <row r="48" customFormat="false" ht="15" hidden="false" customHeight="false" outlineLevel="0" collapsed="false">
      <c r="A48" s="13" t="n">
        <v>2024</v>
      </c>
      <c r="B48" s="12" t="s">
        <v>108</v>
      </c>
      <c r="C48" s="12" t="s">
        <v>178</v>
      </c>
      <c r="D48" s="14" t="n">
        <v>55.42</v>
      </c>
      <c r="E48" s="14" t="n">
        <v>-86.32</v>
      </c>
      <c r="F48" s="15" t="n">
        <v>10</v>
      </c>
      <c r="G48" s="21" t="n">
        <v>0</v>
      </c>
      <c r="H48" s="19" t="n">
        <v>0</v>
      </c>
      <c r="I48" s="19" t="n">
        <f aca="false">H48+F48</f>
        <v>10</v>
      </c>
      <c r="J48" s="23" t="n">
        <f aca="false">IFERROR(INDEX('2. Core Log'!$G$5:$G$20,MATCH(B48,'2. Core Log'!$A$5:$A$20,0)),1)</f>
        <v>1</v>
      </c>
      <c r="K48" s="19" t="n">
        <f aca="false">H48*J48</f>
        <v>0</v>
      </c>
      <c r="L48" s="19" t="n">
        <f aca="false">I48*J48</f>
        <v>10</v>
      </c>
      <c r="M48" s="24" t="n">
        <v>1.5</v>
      </c>
      <c r="N48" s="21" t="n">
        <v>11.38</v>
      </c>
      <c r="O48" s="21" t="n">
        <v>6.6</v>
      </c>
      <c r="P48" s="19" t="n">
        <f aca="false">IF(O48="",N48*$C$2,O48)</f>
        <v>6.6</v>
      </c>
      <c r="Q48" s="25" t="n">
        <f aca="false">M48*P48/100*(1-G48)</f>
        <v>0.099</v>
      </c>
      <c r="R48" s="26" t="n">
        <f aca="false">Q48*F48</f>
        <v>0.99</v>
      </c>
      <c r="S48" s="16" t="n">
        <f aca="false">R48*10</f>
        <v>9.9</v>
      </c>
      <c r="T48" s="19" t="n">
        <f aca="false">S48*10</f>
        <v>99</v>
      </c>
      <c r="U48" s="16" t="n">
        <f aca="false">MAX(0,MIN($L48,15)-MAX($K48,0))*$Q48*10</f>
        <v>9.9</v>
      </c>
      <c r="V48" s="16" t="n">
        <f aca="false">MAX(0,MIN($L48,30)-MAX($K48,15))*$Q48*10</f>
        <v>0</v>
      </c>
      <c r="W48" s="16" t="n">
        <f aca="false">MAX(0,MIN($L48,50)-MAX($K48,30))*$Q48*10</f>
        <v>0</v>
      </c>
      <c r="X48" s="16" t="n">
        <f aca="false">MAX(0,MIN($L48,100)-MAX($K48,50))*$Q48*10</f>
        <v>0</v>
      </c>
      <c r="Y48" s="14" t="n">
        <v>0.099</v>
      </c>
      <c r="Z48" s="27" t="n">
        <f aca="false">Q48-Y48</f>
        <v>0</v>
      </c>
    </row>
    <row r="49" customFormat="false" ht="15" hidden="false" customHeight="false" outlineLevel="0" collapsed="false">
      <c r="A49" s="13" t="n">
        <v>2024</v>
      </c>
      <c r="B49" s="12" t="s">
        <v>108</v>
      </c>
      <c r="C49" s="12" t="s">
        <v>179</v>
      </c>
      <c r="D49" s="14" t="n">
        <v>55.42</v>
      </c>
      <c r="E49" s="14" t="n">
        <v>-86.32</v>
      </c>
      <c r="F49" s="15" t="n">
        <v>15</v>
      </c>
      <c r="G49" s="21" t="n">
        <v>0</v>
      </c>
      <c r="H49" s="19" t="n">
        <f aca="false">I48</f>
        <v>10</v>
      </c>
      <c r="I49" s="19" t="n">
        <f aca="false">H49+F49</f>
        <v>25</v>
      </c>
      <c r="J49" s="23" t="n">
        <f aca="false">IFERROR(INDEX('2. Core Log'!$G$5:$G$20,MATCH(B49,'2. Core Log'!$A$5:$A$20,0)),1)</f>
        <v>1</v>
      </c>
      <c r="K49" s="19" t="n">
        <f aca="false">H49*J49</f>
        <v>10</v>
      </c>
      <c r="L49" s="19" t="n">
        <f aca="false">I49*J49</f>
        <v>25</v>
      </c>
      <c r="M49" s="24" t="n">
        <v>1.25</v>
      </c>
      <c r="N49" s="21" t="n">
        <v>13.52</v>
      </c>
      <c r="O49" s="21" t="n">
        <v>7.84</v>
      </c>
      <c r="P49" s="19" t="n">
        <f aca="false">IF(O49="",N49*$C$2,O49)</f>
        <v>7.84</v>
      </c>
      <c r="Q49" s="25" t="n">
        <f aca="false">M49*P49/100*(1-G49)</f>
        <v>0.098</v>
      </c>
      <c r="R49" s="26" t="n">
        <f aca="false">Q49*F49</f>
        <v>1.47</v>
      </c>
      <c r="S49" s="16" t="n">
        <f aca="false">R49*10</f>
        <v>14.7</v>
      </c>
      <c r="T49" s="19" t="n">
        <f aca="false">S49*10</f>
        <v>147</v>
      </c>
      <c r="U49" s="16" t="n">
        <f aca="false">MAX(0,MIN($L49,15)-MAX($K49,0))*$Q49*10</f>
        <v>4.9</v>
      </c>
      <c r="V49" s="16" t="n">
        <f aca="false">MAX(0,MIN($L49,30)-MAX($K49,15))*$Q49*10</f>
        <v>9.8</v>
      </c>
      <c r="W49" s="16" t="n">
        <f aca="false">MAX(0,MIN($L49,50)-MAX($K49,30))*$Q49*10</f>
        <v>0</v>
      </c>
      <c r="X49" s="16" t="n">
        <f aca="false">MAX(0,MIN($L49,100)-MAX($K49,50))*$Q49*10</f>
        <v>0</v>
      </c>
      <c r="Y49" s="14" t="n">
        <v>0.098</v>
      </c>
      <c r="Z49" s="27" t="n">
        <f aca="false">Q49-Y49</f>
        <v>0</v>
      </c>
    </row>
    <row r="50" customFormat="false" ht="15" hidden="false" customHeight="false" outlineLevel="0" collapsed="false">
      <c r="A50" s="13" t="n">
        <v>2024</v>
      </c>
      <c r="B50" s="12" t="s">
        <v>108</v>
      </c>
      <c r="C50" s="12" t="s">
        <v>180</v>
      </c>
      <c r="D50" s="14" t="n">
        <v>55.42</v>
      </c>
      <c r="E50" s="14" t="n">
        <v>-86.32</v>
      </c>
      <c r="F50" s="15" t="n">
        <v>15</v>
      </c>
      <c r="G50" s="21" t="n">
        <v>0</v>
      </c>
      <c r="H50" s="19" t="n">
        <f aca="false">I49</f>
        <v>25</v>
      </c>
      <c r="I50" s="19" t="n">
        <f aca="false">H50+F50</f>
        <v>40</v>
      </c>
      <c r="J50" s="23" t="n">
        <f aca="false">IFERROR(INDEX('2. Core Log'!$G$5:$G$20,MATCH(B50,'2. Core Log'!$A$5:$A$20,0)),1)</f>
        <v>1</v>
      </c>
      <c r="K50" s="19" t="n">
        <f aca="false">H50*J50</f>
        <v>25</v>
      </c>
      <c r="L50" s="19" t="n">
        <f aca="false">I50*J50</f>
        <v>40</v>
      </c>
      <c r="M50" s="24" t="n">
        <v>0.8</v>
      </c>
      <c r="N50" s="21" t="n">
        <v>1.72</v>
      </c>
      <c r="O50" s="21" t="n">
        <v>1</v>
      </c>
      <c r="P50" s="19" t="n">
        <f aca="false">IF(O50="",N50*$C$2,O50)</f>
        <v>1</v>
      </c>
      <c r="Q50" s="25" t="n">
        <f aca="false">M50*P50/100*(1-G50)</f>
        <v>0.008</v>
      </c>
      <c r="R50" s="26" t="n">
        <f aca="false">Q50*F50</f>
        <v>0.12</v>
      </c>
      <c r="S50" s="16" t="n">
        <f aca="false">R50*10</f>
        <v>1.2</v>
      </c>
      <c r="T50" s="19" t="n">
        <f aca="false">S50*10</f>
        <v>12</v>
      </c>
      <c r="U50" s="16" t="n">
        <f aca="false">MAX(0,MIN($L50,15)-MAX($K50,0))*$Q50*10</f>
        <v>0</v>
      </c>
      <c r="V50" s="16" t="n">
        <f aca="false">MAX(0,MIN($L50,30)-MAX($K50,15))*$Q50*10</f>
        <v>0.4</v>
      </c>
      <c r="W50" s="16" t="n">
        <f aca="false">MAX(0,MIN($L50,50)-MAX($K50,30))*$Q50*10</f>
        <v>0.8</v>
      </c>
      <c r="X50" s="16" t="n">
        <f aca="false">MAX(0,MIN($L50,100)-MAX($K50,50))*$Q50*10</f>
        <v>0</v>
      </c>
      <c r="Y50" s="14" t="n">
        <v>0.008</v>
      </c>
      <c r="Z50" s="27" t="n">
        <f aca="false">Q50-Y50</f>
        <v>0</v>
      </c>
    </row>
    <row r="51" customFormat="false" ht="15" hidden="false" customHeight="false" outlineLevel="0" collapsed="false">
      <c r="A51" s="13" t="n">
        <v>2024</v>
      </c>
      <c r="B51" s="12" t="s">
        <v>109</v>
      </c>
      <c r="C51" s="12" t="s">
        <v>181</v>
      </c>
      <c r="D51" s="14" t="n">
        <v>55.45</v>
      </c>
      <c r="E51" s="14" t="n">
        <v>-86.51</v>
      </c>
      <c r="F51" s="15" t="n">
        <v>10</v>
      </c>
      <c r="G51" s="21" t="n">
        <v>0</v>
      </c>
      <c r="H51" s="19" t="n">
        <v>0</v>
      </c>
      <c r="I51" s="19" t="n">
        <f aca="false">H51+F51</f>
        <v>10</v>
      </c>
      <c r="J51" s="23" t="n">
        <f aca="false">IFERROR(INDEX('2. Core Log'!$G$5:$G$20,MATCH(B51,'2. Core Log'!$A$5:$A$20,0)),1)</f>
        <v>1</v>
      </c>
      <c r="K51" s="19" t="n">
        <f aca="false">H51*J51</f>
        <v>0</v>
      </c>
      <c r="L51" s="19" t="n">
        <f aca="false">I51*J51</f>
        <v>10</v>
      </c>
      <c r="M51" s="24" t="n">
        <v>0.6</v>
      </c>
      <c r="N51" s="21" t="n">
        <v>25</v>
      </c>
      <c r="O51" s="21" t="n">
        <v>14.5</v>
      </c>
      <c r="P51" s="19" t="n">
        <f aca="false">IF(O51="",N51*$C$2,O51)</f>
        <v>14.5</v>
      </c>
      <c r="Q51" s="25" t="n">
        <f aca="false">M51*P51/100*(1-G51)</f>
        <v>0.087</v>
      </c>
      <c r="R51" s="26" t="n">
        <f aca="false">Q51*F51</f>
        <v>0.87</v>
      </c>
      <c r="S51" s="16" t="n">
        <f aca="false">R51*10</f>
        <v>8.7</v>
      </c>
      <c r="T51" s="19" t="n">
        <f aca="false">S51*10</f>
        <v>87</v>
      </c>
      <c r="U51" s="16" t="n">
        <f aca="false">MAX(0,MIN($L51,15)-MAX($K51,0))*$Q51*10</f>
        <v>8.7</v>
      </c>
      <c r="V51" s="16" t="n">
        <f aca="false">MAX(0,MIN($L51,30)-MAX($K51,15))*$Q51*10</f>
        <v>0</v>
      </c>
      <c r="W51" s="16" t="n">
        <f aca="false">MAX(0,MIN($L51,50)-MAX($K51,30))*$Q51*10</f>
        <v>0</v>
      </c>
      <c r="X51" s="16" t="n">
        <f aca="false">MAX(0,MIN($L51,100)-MAX($K51,50))*$Q51*10</f>
        <v>0</v>
      </c>
      <c r="Y51" s="14" t="n">
        <v>0.087</v>
      </c>
      <c r="Z51" s="27" t="n">
        <f aca="false">Q51-Y51</f>
        <v>0</v>
      </c>
    </row>
    <row r="52" customFormat="false" ht="15" hidden="false" customHeight="false" outlineLevel="0" collapsed="false">
      <c r="A52" s="13" t="n">
        <v>2024</v>
      </c>
      <c r="B52" s="12" t="s">
        <v>109</v>
      </c>
      <c r="C52" s="12" t="s">
        <v>182</v>
      </c>
      <c r="D52" s="14" t="n">
        <v>55.45</v>
      </c>
      <c r="E52" s="14" t="n">
        <v>-86.51</v>
      </c>
      <c r="F52" s="15" t="n">
        <v>15</v>
      </c>
      <c r="G52" s="21" t="n">
        <v>0</v>
      </c>
      <c r="H52" s="19" t="n">
        <f aca="false">I51</f>
        <v>10</v>
      </c>
      <c r="I52" s="19" t="n">
        <f aca="false">H52+F52</f>
        <v>25</v>
      </c>
      <c r="J52" s="23" t="n">
        <f aca="false">IFERROR(INDEX('2. Core Log'!$G$5:$G$20,MATCH(B52,'2. Core Log'!$A$5:$A$20,0)),1)</f>
        <v>1</v>
      </c>
      <c r="K52" s="19" t="n">
        <f aca="false">H52*J52</f>
        <v>10</v>
      </c>
      <c r="L52" s="19" t="n">
        <f aca="false">I52*J52</f>
        <v>25</v>
      </c>
      <c r="M52" s="24" t="n">
        <v>1</v>
      </c>
      <c r="N52" s="21" t="n">
        <v>14.83</v>
      </c>
      <c r="O52" s="21" t="n">
        <v>8.6</v>
      </c>
      <c r="P52" s="19" t="n">
        <f aca="false">IF(O52="",N52*$C$2,O52)</f>
        <v>8.6</v>
      </c>
      <c r="Q52" s="25" t="n">
        <f aca="false">M52*P52/100*(1-G52)</f>
        <v>0.086</v>
      </c>
      <c r="R52" s="26" t="n">
        <f aca="false">Q52*F52</f>
        <v>1.29</v>
      </c>
      <c r="S52" s="16" t="n">
        <f aca="false">R52*10</f>
        <v>12.9</v>
      </c>
      <c r="T52" s="19" t="n">
        <f aca="false">S52*10</f>
        <v>129</v>
      </c>
      <c r="U52" s="16" t="n">
        <f aca="false">MAX(0,MIN($L52,15)-MAX($K52,0))*$Q52*10</f>
        <v>4.3</v>
      </c>
      <c r="V52" s="16" t="n">
        <f aca="false">MAX(0,MIN($L52,30)-MAX($K52,15))*$Q52*10</f>
        <v>8.6</v>
      </c>
      <c r="W52" s="16" t="n">
        <f aca="false">MAX(0,MIN($L52,50)-MAX($K52,30))*$Q52*10</f>
        <v>0</v>
      </c>
      <c r="X52" s="16" t="n">
        <f aca="false">MAX(0,MIN($L52,100)-MAX($K52,50))*$Q52*10</f>
        <v>0</v>
      </c>
      <c r="Y52" s="14" t="n">
        <v>0.086</v>
      </c>
      <c r="Z52" s="27" t="n">
        <f aca="false">Q52-Y52</f>
        <v>0</v>
      </c>
    </row>
    <row r="53" customFormat="false" ht="15" hidden="false" customHeight="false" outlineLevel="0" collapsed="false">
      <c r="A53" s="13" t="n">
        <v>2024</v>
      </c>
      <c r="B53" s="12" t="s">
        <v>109</v>
      </c>
      <c r="C53" s="12" t="s">
        <v>183</v>
      </c>
      <c r="D53" s="14" t="n">
        <v>55.45</v>
      </c>
      <c r="E53" s="14" t="n">
        <v>-86.51</v>
      </c>
      <c r="F53" s="15" t="n">
        <v>15</v>
      </c>
      <c r="G53" s="21" t="n">
        <v>0</v>
      </c>
      <c r="H53" s="19" t="n">
        <f aca="false">I52</f>
        <v>25</v>
      </c>
      <c r="I53" s="19" t="n">
        <f aca="false">H53+F53</f>
        <v>40</v>
      </c>
      <c r="J53" s="23" t="n">
        <f aca="false">IFERROR(INDEX('2. Core Log'!$G$5:$G$20,MATCH(B53,'2. Core Log'!$A$5:$A$20,0)),1)</f>
        <v>1</v>
      </c>
      <c r="K53" s="19" t="n">
        <f aca="false">H53*J53</f>
        <v>25</v>
      </c>
      <c r="L53" s="19" t="n">
        <f aca="false">I53*J53</f>
        <v>40</v>
      </c>
      <c r="M53" s="24" t="n">
        <v>1.25</v>
      </c>
      <c r="N53" s="21" t="n">
        <v>1.1</v>
      </c>
      <c r="O53" s="21" t="n">
        <v>0.64</v>
      </c>
      <c r="P53" s="19" t="n">
        <f aca="false">IF(O53="",N53*$C$2,O53)</f>
        <v>0.64</v>
      </c>
      <c r="Q53" s="25" t="n">
        <f aca="false">M53*P53/100*(1-G53)</f>
        <v>0.008</v>
      </c>
      <c r="R53" s="26" t="n">
        <f aca="false">Q53*F53</f>
        <v>0.12</v>
      </c>
      <c r="S53" s="16" t="n">
        <f aca="false">R53*10</f>
        <v>1.2</v>
      </c>
      <c r="T53" s="19" t="n">
        <f aca="false">S53*10</f>
        <v>12</v>
      </c>
      <c r="U53" s="16" t="n">
        <f aca="false">MAX(0,MIN($L53,15)-MAX($K53,0))*$Q53*10</f>
        <v>0</v>
      </c>
      <c r="V53" s="16" t="n">
        <f aca="false">MAX(0,MIN($L53,30)-MAX($K53,15))*$Q53*10</f>
        <v>0.4</v>
      </c>
      <c r="W53" s="16" t="n">
        <f aca="false">MAX(0,MIN($L53,50)-MAX($K53,30))*$Q53*10</f>
        <v>0.8</v>
      </c>
      <c r="X53" s="16" t="n">
        <f aca="false">MAX(0,MIN($L53,100)-MAX($K53,50))*$Q53*10</f>
        <v>0</v>
      </c>
      <c r="Y53" s="14" t="n">
        <v>0.008</v>
      </c>
      <c r="Z53" s="27" t="n">
        <f aca="false">Q53-Y53</f>
        <v>0</v>
      </c>
    </row>
    <row r="54" customFormat="false" ht="15" hidden="false" customHeight="false" outlineLevel="0" collapsed="false">
      <c r="C54" s="28" t="s">
        <v>184</v>
      </c>
      <c r="S54" s="29" t="n">
        <f aca="false">SUM(S6:S53)</f>
        <v>285.6</v>
      </c>
      <c r="T54" s="30" t="n">
        <f aca="false">SUM(T6:T53)</f>
        <v>2856</v>
      </c>
      <c r="U54" s="29" t="n">
        <f aca="false">SUM(U6:U53)</f>
        <v>159</v>
      </c>
      <c r="V54" s="29" t="n">
        <f aca="false">SUM(V6:V53)</f>
        <v>113</v>
      </c>
      <c r="W54" s="29" t="n">
        <f aca="false">SUM(W6:W53)</f>
        <v>13.6</v>
      </c>
      <c r="X54" s="29" t="n">
        <f aca="false">SUM(X6:X53)</f>
        <v>0</v>
      </c>
      <c r="Z54" s="31" t="n">
        <f aca="false">SUMPRODUCT(MAX(ABS(Z6:Z53)))</f>
        <v>0</v>
      </c>
    </row>
    <row r="55" customFormat="false" ht="15" hidden="false" customHeight="false" outlineLevel="0" collapsed="false">
      <c r="C55" s="10" t="s">
        <v>185</v>
      </c>
    </row>
  </sheetData>
  <autoFilter ref="A5:Z53"/>
  <mergeCells count="6">
    <mergeCell ref="A4:G4"/>
    <mergeCell ref="H4:L4"/>
    <mergeCell ref="M4:O4"/>
    <mergeCell ref="P4:T4"/>
    <mergeCell ref="U4:X4"/>
    <mergeCell ref="Y4:Z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8" min="7" style="0" width="13"/>
    <col collapsed="false" customWidth="true" hidden="false" outlineLevel="0" max="12" min="9" style="0" width="12"/>
    <col collapsed="false" customWidth="true" hidden="false" outlineLevel="0" max="14" min="13" style="0" width="13"/>
    <col collapsed="false" customWidth="true" hidden="false" outlineLevel="0" max="15" min="15" style="0" width="46"/>
  </cols>
  <sheetData>
    <row r="1" customFormat="false" ht="15" hidden="false" customHeight="false" outlineLevel="0" collapsed="false">
      <c r="A1" s="9" t="s">
        <v>186</v>
      </c>
    </row>
    <row r="2" customFormat="false" ht="15" hidden="false" customHeight="false" outlineLevel="0" collapsed="false">
      <c r="A2" s="10" t="s">
        <v>187</v>
      </c>
    </row>
    <row r="4" customFormat="false" ht="39.75" hidden="false" customHeight="true" outlineLevel="0" collapsed="false">
      <c r="A4" s="11" t="s">
        <v>82</v>
      </c>
      <c r="B4" s="11" t="s">
        <v>83</v>
      </c>
      <c r="C4" s="11" t="s">
        <v>84</v>
      </c>
      <c r="D4" s="11" t="s">
        <v>188</v>
      </c>
      <c r="E4" s="11" t="s">
        <v>189</v>
      </c>
      <c r="F4" s="11" t="s">
        <v>91</v>
      </c>
      <c r="G4" s="11" t="s">
        <v>190</v>
      </c>
      <c r="H4" s="11" t="s">
        <v>191</v>
      </c>
      <c r="I4" s="11" t="s">
        <v>192</v>
      </c>
      <c r="J4" s="11" t="s">
        <v>193</v>
      </c>
      <c r="K4" s="11" t="s">
        <v>194</v>
      </c>
      <c r="L4" s="11" t="s">
        <v>195</v>
      </c>
      <c r="M4" s="11" t="s">
        <v>196</v>
      </c>
      <c r="N4" s="11" t="s">
        <v>197</v>
      </c>
      <c r="O4" s="11" t="s">
        <v>198</v>
      </c>
    </row>
    <row r="5" customFormat="false" ht="15" hidden="false" customHeight="false" outlineLevel="0" collapsed="false">
      <c r="A5" s="32" t="str">
        <f aca="false">'2. Core Log'!A5</f>
        <v>EX-01</v>
      </c>
      <c r="B5" s="17" t="n">
        <f aca="false">'2. Core Log'!B5</f>
        <v>2023</v>
      </c>
      <c r="C5" s="33" t="n">
        <f aca="false">'2. Core Log'!C5</f>
        <v>55.3</v>
      </c>
      <c r="D5" s="33" t="n">
        <f aca="false">'2. Core Log'!D5</f>
        <v>-86.58</v>
      </c>
      <c r="E5" s="17" t="n">
        <f aca="false">'2. Core Log'!H5</f>
        <v>3</v>
      </c>
      <c r="F5" s="18" t="n">
        <f aca="false">'2. Core Log'!J5</f>
        <v>40</v>
      </c>
      <c r="G5" s="23" t="n">
        <f aca="false">SUMIF('3. Sample Data'!$B$6:$B$53,$A5,'3. Sample Data'!$S$6:$S$53)</f>
        <v>7.2</v>
      </c>
      <c r="H5" s="19" t="n">
        <f aca="false">G5*10</f>
        <v>72</v>
      </c>
      <c r="I5" s="23" t="n">
        <f aca="false">IF($F5&lt;=0,"no core material",SUMIF('3. Sample Data'!$B$6:$B$53,$A5,'3. Sample Data'!$U$6:$U$53))</f>
        <v>3.4</v>
      </c>
      <c r="J5" s="23" t="n">
        <f aca="false">IF($F5&lt;=15,"no core material",SUMIF('3. Sample Data'!$B$6:$B$53,$A5,'3. Sample Data'!$V$6:$V$53))</f>
        <v>2.6</v>
      </c>
      <c r="K5" s="23" t="n">
        <f aca="false">IF($F5&lt;=30,"no core material",SUMIF('3. Sample Data'!$B$6:$B$53,$A5,'3. Sample Data'!$W$6:$W$53))</f>
        <v>1.2</v>
      </c>
      <c r="L5" s="23" t="str">
        <f aca="false">IF($F5&lt;=50,"no core material",SUMIF('3. Sample Data'!$B$6:$B$53,$A5,'3. Sample Data'!$X$6:$X$53))</f>
        <v>no core material</v>
      </c>
      <c r="M5" s="23" t="n">
        <f aca="false">SUMIF('3. Sample Data'!$B$6:$B$53,$A5,'3. Sample Data'!$U$6:$U$53)+SUMIF('3. Sample Data'!$B$6:$B$53,$A5,'3. Sample Data'!$V$6:$V$53)</f>
        <v>6</v>
      </c>
      <c r="N5" s="19" t="n">
        <f aca="false">M5*10</f>
        <v>60</v>
      </c>
      <c r="O5" s="34" t="str">
        <f aca="false">IF($F5&gt;=30,"full 0–30 cm coverage","PARTIAL — core stops at "&amp;TEXT($F5,"0.0")&amp;" cm; 0–30 cm stock covers only "&amp;TEXT($F5/30,"0%")&amp;" of the interval")</f>
        <v>full 0–30 cm coverage</v>
      </c>
    </row>
    <row r="6" customFormat="false" ht="15" hidden="false" customHeight="false" outlineLevel="0" collapsed="false">
      <c r="A6" s="32" t="str">
        <f aca="false">'2. Core Log'!A6</f>
        <v>EX-02</v>
      </c>
      <c r="B6" s="17" t="n">
        <f aca="false">'2. Core Log'!B6</f>
        <v>2023</v>
      </c>
      <c r="C6" s="33" t="n">
        <f aca="false">'2. Core Log'!C6</f>
        <v>55.4</v>
      </c>
      <c r="D6" s="33" t="n">
        <f aca="false">'2. Core Log'!D6</f>
        <v>-86.46</v>
      </c>
      <c r="E6" s="17" t="n">
        <f aca="false">'2. Core Log'!H6</f>
        <v>3</v>
      </c>
      <c r="F6" s="18" t="n">
        <f aca="false">'2. Core Log'!J6</f>
        <v>40</v>
      </c>
      <c r="G6" s="23" t="n">
        <f aca="false">SUMIF('3. Sample Data'!$B$6:$B$53,$A6,'3. Sample Data'!$S$6:$S$53)</f>
        <v>16.2</v>
      </c>
      <c r="H6" s="19" t="n">
        <f aca="false">G6*10</f>
        <v>162</v>
      </c>
      <c r="I6" s="23" t="n">
        <f aca="false">IF($F6&lt;=0,"no core material",SUMIF('3. Sample Data'!$B$6:$B$53,$A6,'3. Sample Data'!$U$6:$U$53))</f>
        <v>8.6</v>
      </c>
      <c r="J6" s="23" t="n">
        <f aca="false">IF($F6&lt;=15,"no core material",SUMIF('3. Sample Data'!$B$6:$B$53,$A6,'3. Sample Data'!$V$6:$V$53))</f>
        <v>6.4</v>
      </c>
      <c r="K6" s="23" t="n">
        <f aca="false">IF($F6&lt;=30,"no core material",SUMIF('3. Sample Data'!$B$6:$B$53,$A6,'3. Sample Data'!$W$6:$W$53))</f>
        <v>1.2</v>
      </c>
      <c r="L6" s="23" t="str">
        <f aca="false">IF($F6&lt;=50,"no core material",SUMIF('3. Sample Data'!$B$6:$B$53,$A6,'3. Sample Data'!$X$6:$X$53))</f>
        <v>no core material</v>
      </c>
      <c r="M6" s="23" t="n">
        <f aca="false">SUMIF('3. Sample Data'!$B$6:$B$53,$A6,'3. Sample Data'!$U$6:$U$53)+SUMIF('3. Sample Data'!$B$6:$B$53,$A6,'3. Sample Data'!$V$6:$V$53)</f>
        <v>15</v>
      </c>
      <c r="N6" s="19" t="n">
        <f aca="false">M6*10</f>
        <v>150</v>
      </c>
      <c r="O6" s="34" t="str">
        <f aca="false">IF($F6&gt;=30,"full 0–30 cm coverage","PARTIAL — core stops at "&amp;TEXT($F6,"0.0")&amp;" cm; 0–30 cm stock covers only "&amp;TEXT($F6/30,"0%")&amp;" of the interval")</f>
        <v>full 0–30 cm coverage</v>
      </c>
    </row>
    <row r="7" customFormat="false" ht="15" hidden="false" customHeight="false" outlineLevel="0" collapsed="false">
      <c r="A7" s="32" t="str">
        <f aca="false">'2. Core Log'!A7</f>
        <v>EX-03</v>
      </c>
      <c r="B7" s="17" t="n">
        <f aca="false">'2. Core Log'!B7</f>
        <v>2023</v>
      </c>
      <c r="C7" s="33" t="n">
        <f aca="false">'2. Core Log'!C7</f>
        <v>55.28</v>
      </c>
      <c r="D7" s="33" t="n">
        <f aca="false">'2. Core Log'!D7</f>
        <v>-86.34</v>
      </c>
      <c r="E7" s="17" t="n">
        <f aca="false">'2. Core Log'!H7</f>
        <v>3</v>
      </c>
      <c r="F7" s="18" t="n">
        <f aca="false">'2. Core Log'!J7</f>
        <v>40</v>
      </c>
      <c r="G7" s="23" t="n">
        <f aca="false">SUMIF('3. Sample Data'!$B$6:$B$53,$A7,'3. Sample Data'!$S$6:$S$53)</f>
        <v>25.2</v>
      </c>
      <c r="H7" s="19" t="n">
        <f aca="false">G7*10</f>
        <v>252</v>
      </c>
      <c r="I7" s="23" t="n">
        <f aca="false">IF($F7&lt;=0,"no core material",SUMIF('3. Sample Data'!$B$6:$B$53,$A7,'3. Sample Data'!$U$6:$U$53))</f>
        <v>14</v>
      </c>
      <c r="J7" s="23" t="n">
        <f aca="false">IF($F7&lt;=15,"no core material",SUMIF('3. Sample Data'!$B$6:$B$53,$A7,'3. Sample Data'!$V$6:$V$53))</f>
        <v>10</v>
      </c>
      <c r="K7" s="23" t="n">
        <f aca="false">IF($F7&lt;=30,"no core material",SUMIF('3. Sample Data'!$B$6:$B$53,$A7,'3. Sample Data'!$W$6:$W$53))</f>
        <v>1.2</v>
      </c>
      <c r="L7" s="23" t="str">
        <f aca="false">IF($F7&lt;=50,"no core material",SUMIF('3. Sample Data'!$B$6:$B$53,$A7,'3. Sample Data'!$X$6:$X$53))</f>
        <v>no core material</v>
      </c>
      <c r="M7" s="23" t="n">
        <f aca="false">SUMIF('3. Sample Data'!$B$6:$B$53,$A7,'3. Sample Data'!$U$6:$U$53)+SUMIF('3. Sample Data'!$B$6:$B$53,$A7,'3. Sample Data'!$V$6:$V$53)</f>
        <v>24</v>
      </c>
      <c r="N7" s="19" t="n">
        <f aca="false">M7*10</f>
        <v>240</v>
      </c>
      <c r="O7" s="34" t="str">
        <f aca="false">IF($F7&gt;=30,"full 0–30 cm coverage","PARTIAL — core stops at "&amp;TEXT($F7,"0.0")&amp;" cm; 0–30 cm stock covers only "&amp;TEXT($F7/30,"0%")&amp;" of the interval")</f>
        <v>full 0–30 cm coverage</v>
      </c>
    </row>
    <row r="8" customFormat="false" ht="15" hidden="false" customHeight="false" outlineLevel="0" collapsed="false">
      <c r="A8" s="32" t="str">
        <f aca="false">'2. Core Log'!A8</f>
        <v>EX-04</v>
      </c>
      <c r="B8" s="17" t="n">
        <f aca="false">'2. Core Log'!B8</f>
        <v>2024</v>
      </c>
      <c r="C8" s="33" t="n">
        <f aca="false">'2. Core Log'!C8</f>
        <v>55.42</v>
      </c>
      <c r="D8" s="33" t="n">
        <f aca="false">'2. Core Log'!D8</f>
        <v>-86.59</v>
      </c>
      <c r="E8" s="17" t="n">
        <f aca="false">'2. Core Log'!H8</f>
        <v>3</v>
      </c>
      <c r="F8" s="18" t="n">
        <f aca="false">'2. Core Log'!J8</f>
        <v>40</v>
      </c>
      <c r="G8" s="23" t="n">
        <f aca="false">SUMIF('3. Sample Data'!$B$6:$B$53,$A8,'3. Sample Data'!$S$6:$S$53)</f>
        <v>7.8</v>
      </c>
      <c r="H8" s="19" t="n">
        <f aca="false">G8*10</f>
        <v>78</v>
      </c>
      <c r="I8" s="23" t="n">
        <f aca="false">IF($F8&lt;=0,"no core material",SUMIF('3. Sample Data'!$B$6:$B$53,$A8,'3. Sample Data'!$U$6:$U$53))</f>
        <v>4</v>
      </c>
      <c r="J8" s="23" t="n">
        <f aca="false">IF($F8&lt;=15,"no core material",SUMIF('3. Sample Data'!$B$6:$B$53,$A8,'3. Sample Data'!$V$6:$V$53))</f>
        <v>3</v>
      </c>
      <c r="K8" s="23" t="n">
        <f aca="false">IF($F8&lt;=30,"no core material",SUMIF('3. Sample Data'!$B$6:$B$53,$A8,'3. Sample Data'!$W$6:$W$53))</f>
        <v>0.8</v>
      </c>
      <c r="L8" s="23" t="str">
        <f aca="false">IF($F8&lt;=50,"no core material",SUMIF('3. Sample Data'!$B$6:$B$53,$A8,'3. Sample Data'!$X$6:$X$53))</f>
        <v>no core material</v>
      </c>
      <c r="M8" s="23" t="n">
        <f aca="false">SUMIF('3. Sample Data'!$B$6:$B$53,$A8,'3. Sample Data'!$U$6:$U$53)+SUMIF('3. Sample Data'!$B$6:$B$53,$A8,'3. Sample Data'!$V$6:$V$53)</f>
        <v>7</v>
      </c>
      <c r="N8" s="19" t="n">
        <f aca="false">M8*10</f>
        <v>70</v>
      </c>
      <c r="O8" s="34" t="str">
        <f aca="false">IF($F8&gt;=30,"full 0–30 cm coverage","PARTIAL — core stops at "&amp;TEXT($F8,"0.0")&amp;" cm; 0–30 cm stock covers only "&amp;TEXT($F8/30,"0%")&amp;" of the interval")</f>
        <v>full 0–30 cm coverage</v>
      </c>
    </row>
    <row r="9" customFormat="false" ht="15" hidden="false" customHeight="false" outlineLevel="0" collapsed="false">
      <c r="A9" s="32" t="str">
        <f aca="false">'2. Core Log'!A9</f>
        <v>EX-05</v>
      </c>
      <c r="B9" s="17" t="n">
        <f aca="false">'2. Core Log'!B9</f>
        <v>2024</v>
      </c>
      <c r="C9" s="33" t="n">
        <f aca="false">'2. Core Log'!C9</f>
        <v>55.36</v>
      </c>
      <c r="D9" s="33" t="n">
        <f aca="false">'2. Core Log'!D9</f>
        <v>-86.53</v>
      </c>
      <c r="E9" s="17" t="n">
        <f aca="false">'2. Core Log'!H9</f>
        <v>3</v>
      </c>
      <c r="F9" s="18" t="n">
        <f aca="false">'2. Core Log'!J9</f>
        <v>40</v>
      </c>
      <c r="G9" s="23" t="n">
        <f aca="false">SUMIF('3. Sample Data'!$B$6:$B$53,$A9,'3. Sample Data'!$S$6:$S$53)</f>
        <v>28.8</v>
      </c>
      <c r="H9" s="19" t="n">
        <f aca="false">G9*10</f>
        <v>288</v>
      </c>
      <c r="I9" s="23" t="n">
        <f aca="false">IF($F9&lt;=0,"no core material",SUMIF('3. Sample Data'!$B$6:$B$53,$A9,'3. Sample Data'!$U$6:$U$53))</f>
        <v>16.6</v>
      </c>
      <c r="J9" s="23" t="n">
        <f aca="false">IF($F9&lt;=15,"no core material",SUMIF('3. Sample Data'!$B$6:$B$53,$A9,'3. Sample Data'!$V$6:$V$53))</f>
        <v>11.4</v>
      </c>
      <c r="K9" s="23" t="n">
        <f aca="false">IF($F9&lt;=30,"no core material",SUMIF('3. Sample Data'!$B$6:$B$53,$A9,'3. Sample Data'!$W$6:$W$53))</f>
        <v>0.8</v>
      </c>
      <c r="L9" s="23" t="str">
        <f aca="false">IF($F9&lt;=50,"no core material",SUMIF('3. Sample Data'!$B$6:$B$53,$A9,'3. Sample Data'!$X$6:$X$53))</f>
        <v>no core material</v>
      </c>
      <c r="M9" s="23" t="n">
        <f aca="false">SUMIF('3. Sample Data'!$B$6:$B$53,$A9,'3. Sample Data'!$U$6:$U$53)+SUMIF('3. Sample Data'!$B$6:$B$53,$A9,'3. Sample Data'!$V$6:$V$53)</f>
        <v>28</v>
      </c>
      <c r="N9" s="19" t="n">
        <f aca="false">M9*10</f>
        <v>280</v>
      </c>
      <c r="O9" s="34" t="str">
        <f aca="false">IF($F9&gt;=30,"full 0–30 cm coverage","PARTIAL — core stops at "&amp;TEXT($F9,"0.0")&amp;" cm; 0–30 cm stock covers only "&amp;TEXT($F9/30,"0%")&amp;" of the interval")</f>
        <v>full 0–30 cm coverage</v>
      </c>
    </row>
    <row r="10" customFormat="false" ht="15" hidden="false" customHeight="false" outlineLevel="0" collapsed="false">
      <c r="A10" s="32" t="str">
        <f aca="false">'2. Core Log'!A10</f>
        <v>EX-06</v>
      </c>
      <c r="B10" s="17" t="n">
        <f aca="false">'2. Core Log'!B10</f>
        <v>2024</v>
      </c>
      <c r="C10" s="33" t="n">
        <f aca="false">'2. Core Log'!C10</f>
        <v>55.26</v>
      </c>
      <c r="D10" s="33" t="n">
        <f aca="false">'2. Core Log'!D10</f>
        <v>-86.55</v>
      </c>
      <c r="E10" s="17" t="n">
        <f aca="false">'2. Core Log'!H10</f>
        <v>3</v>
      </c>
      <c r="F10" s="18" t="n">
        <f aca="false">'2. Core Log'!J10</f>
        <v>40</v>
      </c>
      <c r="G10" s="23" t="n">
        <f aca="false">SUMIF('3. Sample Data'!$B$6:$B$53,$A10,'3. Sample Data'!$S$6:$S$53)</f>
        <v>10.8</v>
      </c>
      <c r="H10" s="19" t="n">
        <f aca="false">G10*10</f>
        <v>108</v>
      </c>
      <c r="I10" s="23" t="n">
        <f aca="false">IF($F10&lt;=0,"no core material",SUMIF('3. Sample Data'!$B$6:$B$53,$A10,'3. Sample Data'!$U$6:$U$53))</f>
        <v>5.8</v>
      </c>
      <c r="J10" s="23" t="n">
        <f aca="false">IF($F10&lt;=15,"no core material",SUMIF('3. Sample Data'!$B$6:$B$53,$A10,'3. Sample Data'!$V$6:$V$53))</f>
        <v>4.2</v>
      </c>
      <c r="K10" s="23" t="n">
        <f aca="false">IF($F10&lt;=30,"no core material",SUMIF('3. Sample Data'!$B$6:$B$53,$A10,'3. Sample Data'!$W$6:$W$53))</f>
        <v>0.8</v>
      </c>
      <c r="L10" s="23" t="str">
        <f aca="false">IF($F10&lt;=50,"no core material",SUMIF('3. Sample Data'!$B$6:$B$53,$A10,'3. Sample Data'!$X$6:$X$53))</f>
        <v>no core material</v>
      </c>
      <c r="M10" s="23" t="n">
        <f aca="false">SUMIF('3. Sample Data'!$B$6:$B$53,$A10,'3. Sample Data'!$U$6:$U$53)+SUMIF('3. Sample Data'!$B$6:$B$53,$A10,'3. Sample Data'!$V$6:$V$53)</f>
        <v>10</v>
      </c>
      <c r="N10" s="19" t="n">
        <f aca="false">M10*10</f>
        <v>100</v>
      </c>
      <c r="O10" s="34" t="str">
        <f aca="false">IF($F10&gt;=30,"full 0–30 cm coverage","PARTIAL — core stops at "&amp;TEXT($F10,"0.0")&amp;" cm; 0–30 cm stock covers only "&amp;TEXT($F10/30,"0%")&amp;" of the interval")</f>
        <v>full 0–30 cm coverage</v>
      </c>
    </row>
    <row r="11" customFormat="false" ht="15" hidden="false" customHeight="false" outlineLevel="0" collapsed="false">
      <c r="A11" s="32" t="str">
        <f aca="false">'2. Core Log'!A11</f>
        <v>EX-07</v>
      </c>
      <c r="B11" s="17" t="n">
        <f aca="false">'2. Core Log'!B11</f>
        <v>2024</v>
      </c>
      <c r="C11" s="33" t="n">
        <f aca="false">'2. Core Log'!C11</f>
        <v>55.31</v>
      </c>
      <c r="D11" s="33" t="n">
        <f aca="false">'2. Core Log'!D11</f>
        <v>-86.49</v>
      </c>
      <c r="E11" s="17" t="n">
        <f aca="false">'2. Core Log'!H11</f>
        <v>3</v>
      </c>
      <c r="F11" s="18" t="n">
        <f aca="false">'2. Core Log'!J11</f>
        <v>40</v>
      </c>
      <c r="G11" s="23" t="n">
        <f aca="false">SUMIF('3. Sample Data'!$B$6:$B$53,$A11,'3. Sample Data'!$S$6:$S$53)</f>
        <v>23.4</v>
      </c>
      <c r="H11" s="19" t="n">
        <f aca="false">G11*10</f>
        <v>234</v>
      </c>
      <c r="I11" s="23" t="n">
        <f aca="false">IF($F11&lt;=0,"no core material",SUMIF('3. Sample Data'!$B$6:$B$53,$A11,'3. Sample Data'!$U$6:$U$53))</f>
        <v>13.6</v>
      </c>
      <c r="J11" s="23" t="n">
        <f aca="false">IF($F11&lt;=15,"no core material",SUMIF('3. Sample Data'!$B$6:$B$53,$A11,'3. Sample Data'!$V$6:$V$53))</f>
        <v>9.4</v>
      </c>
      <c r="K11" s="23" t="n">
        <f aca="false">IF($F11&lt;=30,"no core material",SUMIF('3. Sample Data'!$B$6:$B$53,$A11,'3. Sample Data'!$W$6:$W$53))</f>
        <v>0.4</v>
      </c>
      <c r="L11" s="23" t="str">
        <f aca="false">IF($F11&lt;=50,"no core material",SUMIF('3. Sample Data'!$B$6:$B$53,$A11,'3. Sample Data'!$X$6:$X$53))</f>
        <v>no core material</v>
      </c>
      <c r="M11" s="23" t="n">
        <f aca="false">SUMIF('3. Sample Data'!$B$6:$B$53,$A11,'3. Sample Data'!$U$6:$U$53)+SUMIF('3. Sample Data'!$B$6:$B$53,$A11,'3. Sample Data'!$V$6:$V$53)</f>
        <v>23</v>
      </c>
      <c r="N11" s="19" t="n">
        <f aca="false">M11*10</f>
        <v>230</v>
      </c>
      <c r="O11" s="34" t="str">
        <f aca="false">IF($F11&gt;=30,"full 0–30 cm coverage","PARTIAL — core stops at "&amp;TEXT($F11,"0.0")&amp;" cm; 0–30 cm stock covers only "&amp;TEXT($F11/30,"0%")&amp;" of the interval")</f>
        <v>full 0–30 cm coverage</v>
      </c>
    </row>
    <row r="12" customFormat="false" ht="15" hidden="false" customHeight="false" outlineLevel="0" collapsed="false">
      <c r="A12" s="32" t="str">
        <f aca="false">'2. Core Log'!A12</f>
        <v>EX-08</v>
      </c>
      <c r="B12" s="17" t="n">
        <f aca="false">'2. Core Log'!B12</f>
        <v>2024</v>
      </c>
      <c r="C12" s="33" t="n">
        <f aca="false">'2. Core Log'!C12</f>
        <v>55.25</v>
      </c>
      <c r="D12" s="33" t="n">
        <f aca="false">'2. Core Log'!D12</f>
        <v>-86.44</v>
      </c>
      <c r="E12" s="17" t="n">
        <f aca="false">'2. Core Log'!H12</f>
        <v>3</v>
      </c>
      <c r="F12" s="18" t="n">
        <f aca="false">'2. Core Log'!J12</f>
        <v>40</v>
      </c>
      <c r="G12" s="23" t="n">
        <f aca="false">SUMIF('3. Sample Data'!$B$6:$B$53,$A12,'3. Sample Data'!$S$6:$S$53)</f>
        <v>8.4</v>
      </c>
      <c r="H12" s="19" t="n">
        <f aca="false">G12*10</f>
        <v>84</v>
      </c>
      <c r="I12" s="23" t="n">
        <f aca="false">IF($F12&lt;=0,"no core material",SUMIF('3. Sample Data'!$B$6:$B$53,$A12,'3. Sample Data'!$U$6:$U$53))</f>
        <v>4.6</v>
      </c>
      <c r="J12" s="23" t="n">
        <f aca="false">IF($F12&lt;=15,"no core material",SUMIF('3. Sample Data'!$B$6:$B$53,$A12,'3. Sample Data'!$V$6:$V$53))</f>
        <v>3.4</v>
      </c>
      <c r="K12" s="23" t="n">
        <f aca="false">IF($F12&lt;=30,"no core material",SUMIF('3. Sample Data'!$B$6:$B$53,$A12,'3. Sample Data'!$W$6:$W$53))</f>
        <v>0.4</v>
      </c>
      <c r="L12" s="23" t="str">
        <f aca="false">IF($F12&lt;=50,"no core material",SUMIF('3. Sample Data'!$B$6:$B$53,$A12,'3. Sample Data'!$X$6:$X$53))</f>
        <v>no core material</v>
      </c>
      <c r="M12" s="23" t="n">
        <f aca="false">SUMIF('3. Sample Data'!$B$6:$B$53,$A12,'3. Sample Data'!$U$6:$U$53)+SUMIF('3. Sample Data'!$B$6:$B$53,$A12,'3. Sample Data'!$V$6:$V$53)</f>
        <v>8</v>
      </c>
      <c r="N12" s="19" t="n">
        <f aca="false">M12*10</f>
        <v>80</v>
      </c>
      <c r="O12" s="34" t="str">
        <f aca="false">IF($F12&gt;=30,"full 0–30 cm coverage","PARTIAL — core stops at "&amp;TEXT($F12,"0.0")&amp;" cm; 0–30 cm stock covers only "&amp;TEXT($F12/30,"0%")&amp;" of the interval")</f>
        <v>full 0–30 cm coverage</v>
      </c>
    </row>
    <row r="13" customFormat="false" ht="15" hidden="false" customHeight="false" outlineLevel="0" collapsed="false">
      <c r="A13" s="32" t="str">
        <f aca="false">'2. Core Log'!A13</f>
        <v>EX-09</v>
      </c>
      <c r="B13" s="17" t="n">
        <f aca="false">'2. Core Log'!B13</f>
        <v>2024</v>
      </c>
      <c r="C13" s="33" t="n">
        <f aca="false">'2. Core Log'!C13</f>
        <v>55.44</v>
      </c>
      <c r="D13" s="33" t="n">
        <f aca="false">'2. Core Log'!D13</f>
        <v>-86.47</v>
      </c>
      <c r="E13" s="17" t="n">
        <f aca="false">'2. Core Log'!H13</f>
        <v>3</v>
      </c>
      <c r="F13" s="18" t="n">
        <f aca="false">'2. Core Log'!J13</f>
        <v>40</v>
      </c>
      <c r="G13" s="23" t="n">
        <f aca="false">SUMIF('3. Sample Data'!$B$6:$B$53,$A13,'3. Sample Data'!$S$6:$S$53)</f>
        <v>26.4</v>
      </c>
      <c r="H13" s="19" t="n">
        <f aca="false">G13*10</f>
        <v>264</v>
      </c>
      <c r="I13" s="23" t="n">
        <f aca="false">IF($F13&lt;=0,"no core material",SUMIF('3. Sample Data'!$B$6:$B$53,$A13,'3. Sample Data'!$U$6:$U$53))</f>
        <v>15.4</v>
      </c>
      <c r="J13" s="23" t="n">
        <f aca="false">IF($F13&lt;=15,"no core material",SUMIF('3. Sample Data'!$B$6:$B$53,$A13,'3. Sample Data'!$V$6:$V$53))</f>
        <v>10.6</v>
      </c>
      <c r="K13" s="23" t="n">
        <f aca="false">IF($F13&lt;=30,"no core material",SUMIF('3. Sample Data'!$B$6:$B$53,$A13,'3. Sample Data'!$W$6:$W$53))</f>
        <v>0.4</v>
      </c>
      <c r="L13" s="23" t="str">
        <f aca="false">IF($F13&lt;=50,"no core material",SUMIF('3. Sample Data'!$B$6:$B$53,$A13,'3. Sample Data'!$X$6:$X$53))</f>
        <v>no core material</v>
      </c>
      <c r="M13" s="23" t="n">
        <f aca="false">SUMIF('3. Sample Data'!$B$6:$B$53,$A13,'3. Sample Data'!$U$6:$U$53)+SUMIF('3. Sample Data'!$B$6:$B$53,$A13,'3. Sample Data'!$V$6:$V$53)</f>
        <v>26</v>
      </c>
      <c r="N13" s="19" t="n">
        <f aca="false">M13*10</f>
        <v>260</v>
      </c>
      <c r="O13" s="34" t="str">
        <f aca="false">IF($F13&gt;=30,"full 0–30 cm coverage","PARTIAL — core stops at "&amp;TEXT($F13,"0.0")&amp;" cm; 0–30 cm stock covers only "&amp;TEXT($F13/30,"0%")&amp;" of the interval")</f>
        <v>full 0–30 cm coverage</v>
      </c>
    </row>
    <row r="14" customFormat="false" ht="15" hidden="false" customHeight="false" outlineLevel="0" collapsed="false">
      <c r="A14" s="32" t="str">
        <f aca="false">'2. Core Log'!A14</f>
        <v>EX-10</v>
      </c>
      <c r="B14" s="17" t="n">
        <f aca="false">'2. Core Log'!B14</f>
        <v>2024</v>
      </c>
      <c r="C14" s="33" t="n">
        <f aca="false">'2. Core Log'!C14</f>
        <v>55.34</v>
      </c>
      <c r="D14" s="33" t="n">
        <f aca="false">'2. Core Log'!D14</f>
        <v>-86.41</v>
      </c>
      <c r="E14" s="17" t="n">
        <f aca="false">'2. Core Log'!H14</f>
        <v>3</v>
      </c>
      <c r="F14" s="18" t="n">
        <f aca="false">'2. Core Log'!J14</f>
        <v>40</v>
      </c>
      <c r="G14" s="23" t="n">
        <f aca="false">SUMIF('3. Sample Data'!$B$6:$B$53,$A14,'3. Sample Data'!$S$6:$S$53)</f>
        <v>13.2</v>
      </c>
      <c r="H14" s="19" t="n">
        <f aca="false">G14*10</f>
        <v>132</v>
      </c>
      <c r="I14" s="23" t="n">
        <f aca="false">IF($F14&lt;=0,"no core material",SUMIF('3. Sample Data'!$B$6:$B$53,$A14,'3. Sample Data'!$U$6:$U$53))</f>
        <v>6.8</v>
      </c>
      <c r="J14" s="23" t="n">
        <f aca="false">IF($F14&lt;=15,"no core material",SUMIF('3. Sample Data'!$B$6:$B$53,$A14,'3. Sample Data'!$V$6:$V$53))</f>
        <v>5.2</v>
      </c>
      <c r="K14" s="23" t="n">
        <f aca="false">IF($F14&lt;=30,"no core material",SUMIF('3. Sample Data'!$B$6:$B$53,$A14,'3. Sample Data'!$W$6:$W$53))</f>
        <v>1.2</v>
      </c>
      <c r="L14" s="23" t="str">
        <f aca="false">IF($F14&lt;=50,"no core material",SUMIF('3. Sample Data'!$B$6:$B$53,$A14,'3. Sample Data'!$X$6:$X$53))</f>
        <v>no core material</v>
      </c>
      <c r="M14" s="23" t="n">
        <f aca="false">SUMIF('3. Sample Data'!$B$6:$B$53,$A14,'3. Sample Data'!$U$6:$U$53)+SUMIF('3. Sample Data'!$B$6:$B$53,$A14,'3. Sample Data'!$V$6:$V$53)</f>
        <v>12</v>
      </c>
      <c r="N14" s="19" t="n">
        <f aca="false">M14*10</f>
        <v>120</v>
      </c>
      <c r="O14" s="34" t="str">
        <f aca="false">IF($F14&gt;=30,"full 0–30 cm coverage","PARTIAL — core stops at "&amp;TEXT($F14,"0.0")&amp;" cm; 0–30 cm stock covers only "&amp;TEXT($F14/30,"0%")&amp;" of the interval")</f>
        <v>full 0–30 cm coverage</v>
      </c>
    </row>
    <row r="15" customFormat="false" ht="15" hidden="false" customHeight="false" outlineLevel="0" collapsed="false">
      <c r="A15" s="32" t="str">
        <f aca="false">'2. Core Log'!A15</f>
        <v>EX-11</v>
      </c>
      <c r="B15" s="17" t="n">
        <f aca="false">'2. Core Log'!B15</f>
        <v>2024</v>
      </c>
      <c r="C15" s="33" t="n">
        <f aca="false">'2. Core Log'!C15</f>
        <v>55.43</v>
      </c>
      <c r="D15" s="33" t="n">
        <f aca="false">'2. Core Log'!D15</f>
        <v>-86.39</v>
      </c>
      <c r="E15" s="17" t="n">
        <f aca="false">'2. Core Log'!H15</f>
        <v>3</v>
      </c>
      <c r="F15" s="18" t="n">
        <f aca="false">'2. Core Log'!J15</f>
        <v>40</v>
      </c>
      <c r="G15" s="23" t="n">
        <f aca="false">SUMIF('3. Sample Data'!$B$6:$B$53,$A15,'3. Sample Data'!$S$6:$S$53)</f>
        <v>19.8</v>
      </c>
      <c r="H15" s="19" t="n">
        <f aca="false">G15*10</f>
        <v>198</v>
      </c>
      <c r="I15" s="23" t="n">
        <f aca="false">IF($F15&lt;=0,"no core material",SUMIF('3. Sample Data'!$B$6:$B$53,$A15,'3. Sample Data'!$U$6:$U$53))</f>
        <v>11.2</v>
      </c>
      <c r="J15" s="23" t="n">
        <f aca="false">IF($F15&lt;=15,"no core material",SUMIF('3. Sample Data'!$B$6:$B$53,$A15,'3. Sample Data'!$V$6:$V$53))</f>
        <v>7.8</v>
      </c>
      <c r="K15" s="23" t="n">
        <f aca="false">IF($F15&lt;=30,"no core material",SUMIF('3. Sample Data'!$B$6:$B$53,$A15,'3. Sample Data'!$W$6:$W$53))</f>
        <v>0.8</v>
      </c>
      <c r="L15" s="23" t="str">
        <f aca="false">IF($F15&lt;=50,"no core material",SUMIF('3. Sample Data'!$B$6:$B$53,$A15,'3. Sample Data'!$X$6:$X$53))</f>
        <v>no core material</v>
      </c>
      <c r="M15" s="23" t="n">
        <f aca="false">SUMIF('3. Sample Data'!$B$6:$B$53,$A15,'3. Sample Data'!$U$6:$U$53)+SUMIF('3. Sample Data'!$B$6:$B$53,$A15,'3. Sample Data'!$V$6:$V$53)</f>
        <v>19</v>
      </c>
      <c r="N15" s="19" t="n">
        <f aca="false">M15*10</f>
        <v>190</v>
      </c>
      <c r="O15" s="34" t="str">
        <f aca="false">IF($F15&gt;=30,"full 0–30 cm coverage","PARTIAL — core stops at "&amp;TEXT($F15,"0.0")&amp;" cm; 0–30 cm stock covers only "&amp;TEXT($F15/30,"0%")&amp;" of the interval")</f>
        <v>full 0–30 cm coverage</v>
      </c>
    </row>
    <row r="16" customFormat="false" ht="15" hidden="false" customHeight="false" outlineLevel="0" collapsed="false">
      <c r="A16" s="32" t="str">
        <f aca="false">'2. Core Log'!A16</f>
        <v>EX-12</v>
      </c>
      <c r="B16" s="17" t="n">
        <f aca="false">'2. Core Log'!B16</f>
        <v>2024</v>
      </c>
      <c r="C16" s="33" t="n">
        <f aca="false">'2. Core Log'!C16</f>
        <v>55.38</v>
      </c>
      <c r="D16" s="33" t="n">
        <f aca="false">'2. Core Log'!D16</f>
        <v>-86.36</v>
      </c>
      <c r="E16" s="17" t="n">
        <f aca="false">'2. Core Log'!H16</f>
        <v>3</v>
      </c>
      <c r="F16" s="18" t="n">
        <f aca="false">'2. Core Log'!J16</f>
        <v>40</v>
      </c>
      <c r="G16" s="23" t="n">
        <f aca="false">SUMIF('3. Sample Data'!$B$6:$B$53,$A16,'3. Sample Data'!$S$6:$S$53)</f>
        <v>10.2</v>
      </c>
      <c r="H16" s="19" t="n">
        <f aca="false">G16*10</f>
        <v>102</v>
      </c>
      <c r="I16" s="23" t="n">
        <f aca="false">IF($F16&lt;=0,"no core material",SUMIF('3. Sample Data'!$B$6:$B$53,$A16,'3. Sample Data'!$U$6:$U$53))</f>
        <v>5</v>
      </c>
      <c r="J16" s="23" t="n">
        <f aca="false">IF($F16&lt;=15,"no core material",SUMIF('3. Sample Data'!$B$6:$B$53,$A16,'3. Sample Data'!$V$6:$V$53))</f>
        <v>4</v>
      </c>
      <c r="K16" s="23" t="n">
        <f aca="false">IF($F16&lt;=30,"no core material",SUMIF('3. Sample Data'!$B$6:$B$53,$A16,'3. Sample Data'!$W$6:$W$53))</f>
        <v>1.2</v>
      </c>
      <c r="L16" s="23" t="str">
        <f aca="false">IF($F16&lt;=50,"no core material",SUMIF('3. Sample Data'!$B$6:$B$53,$A16,'3. Sample Data'!$X$6:$X$53))</f>
        <v>no core material</v>
      </c>
      <c r="M16" s="23" t="n">
        <f aca="false">SUMIF('3. Sample Data'!$B$6:$B$53,$A16,'3. Sample Data'!$U$6:$U$53)+SUMIF('3. Sample Data'!$B$6:$B$53,$A16,'3. Sample Data'!$V$6:$V$53)</f>
        <v>9</v>
      </c>
      <c r="N16" s="19" t="n">
        <f aca="false">M16*10</f>
        <v>90</v>
      </c>
      <c r="O16" s="34" t="str">
        <f aca="false">IF($F16&gt;=30,"full 0–30 cm coverage","PARTIAL — core stops at "&amp;TEXT($F16,"0.0")&amp;" cm; 0–30 cm stock covers only "&amp;TEXT($F16/30,"0%")&amp;" of the interval")</f>
        <v>full 0–30 cm coverage</v>
      </c>
    </row>
    <row r="17" customFormat="false" ht="15" hidden="false" customHeight="false" outlineLevel="0" collapsed="false">
      <c r="A17" s="32" t="str">
        <f aca="false">'2. Core Log'!A17</f>
        <v>EX-13</v>
      </c>
      <c r="B17" s="17" t="n">
        <f aca="false">'2. Core Log'!B17</f>
        <v>2024</v>
      </c>
      <c r="C17" s="33" t="n">
        <f aca="false">'2. Core Log'!C17</f>
        <v>55.33</v>
      </c>
      <c r="D17" s="33" t="n">
        <f aca="false">'2. Core Log'!D17</f>
        <v>-86.33</v>
      </c>
      <c r="E17" s="17" t="n">
        <f aca="false">'2. Core Log'!H17</f>
        <v>3</v>
      </c>
      <c r="F17" s="18" t="n">
        <f aca="false">'2. Core Log'!J17</f>
        <v>40</v>
      </c>
      <c r="G17" s="23" t="n">
        <f aca="false">SUMIF('3. Sample Data'!$B$6:$B$53,$A17,'3. Sample Data'!$S$6:$S$53)</f>
        <v>28.2</v>
      </c>
      <c r="H17" s="19" t="n">
        <f aca="false">G17*10</f>
        <v>282</v>
      </c>
      <c r="I17" s="23" t="n">
        <f aca="false">IF($F17&lt;=0,"no core material",SUMIF('3. Sample Data'!$B$6:$B$53,$A17,'3. Sample Data'!$U$6:$U$53))</f>
        <v>15.8</v>
      </c>
      <c r="J17" s="23" t="n">
        <f aca="false">IF($F17&lt;=15,"no core material",SUMIF('3. Sample Data'!$B$6:$B$53,$A17,'3. Sample Data'!$V$6:$V$53))</f>
        <v>11.2</v>
      </c>
      <c r="K17" s="23" t="n">
        <f aca="false">IF($F17&lt;=30,"no core material",SUMIF('3. Sample Data'!$B$6:$B$53,$A17,'3. Sample Data'!$W$6:$W$53))</f>
        <v>1.2</v>
      </c>
      <c r="L17" s="23" t="str">
        <f aca="false">IF($F17&lt;=50,"no core material",SUMIF('3. Sample Data'!$B$6:$B$53,$A17,'3. Sample Data'!$X$6:$X$53))</f>
        <v>no core material</v>
      </c>
      <c r="M17" s="23" t="n">
        <f aca="false">SUMIF('3. Sample Data'!$B$6:$B$53,$A17,'3. Sample Data'!$U$6:$U$53)+SUMIF('3. Sample Data'!$B$6:$B$53,$A17,'3. Sample Data'!$V$6:$V$53)</f>
        <v>27</v>
      </c>
      <c r="N17" s="19" t="n">
        <f aca="false">M17*10</f>
        <v>270</v>
      </c>
      <c r="O17" s="34" t="str">
        <f aca="false">IF($F17&gt;=30,"full 0–30 cm coverage","PARTIAL — core stops at "&amp;TEXT($F17,"0.0")&amp;" cm; 0–30 cm stock covers only "&amp;TEXT($F17/30,"0%")&amp;" of the interval")</f>
        <v>full 0–30 cm coverage</v>
      </c>
    </row>
    <row r="18" customFormat="false" ht="15" hidden="false" customHeight="false" outlineLevel="0" collapsed="false">
      <c r="A18" s="32" t="str">
        <f aca="false">'2. Core Log'!A18</f>
        <v>EX-14</v>
      </c>
      <c r="B18" s="17" t="n">
        <f aca="false">'2. Core Log'!B18</f>
        <v>2024</v>
      </c>
      <c r="C18" s="33" t="n">
        <f aca="false">'2. Core Log'!C18</f>
        <v>55.26</v>
      </c>
      <c r="D18" s="33" t="n">
        <f aca="false">'2. Core Log'!D18</f>
        <v>-86.37</v>
      </c>
      <c r="E18" s="17" t="n">
        <f aca="false">'2. Core Log'!H18</f>
        <v>3</v>
      </c>
      <c r="F18" s="18" t="n">
        <f aca="false">'2. Core Log'!J18</f>
        <v>40</v>
      </c>
      <c r="G18" s="23" t="n">
        <f aca="false">SUMIF('3. Sample Data'!$B$6:$B$53,$A18,'3. Sample Data'!$S$6:$S$53)</f>
        <v>11.4</v>
      </c>
      <c r="H18" s="19" t="n">
        <f aca="false">G18*10</f>
        <v>114</v>
      </c>
      <c r="I18" s="23" t="n">
        <f aca="false">IF($F18&lt;=0,"no core material",SUMIF('3. Sample Data'!$B$6:$B$53,$A18,'3. Sample Data'!$U$6:$U$53))</f>
        <v>6.4</v>
      </c>
      <c r="J18" s="23" t="n">
        <f aca="false">IF($F18&lt;=15,"no core material",SUMIF('3. Sample Data'!$B$6:$B$53,$A18,'3. Sample Data'!$V$6:$V$53))</f>
        <v>4.6</v>
      </c>
      <c r="K18" s="23" t="n">
        <f aca="false">IF($F18&lt;=30,"no core material",SUMIF('3. Sample Data'!$B$6:$B$53,$A18,'3. Sample Data'!$W$6:$W$53))</f>
        <v>0.4</v>
      </c>
      <c r="L18" s="23" t="str">
        <f aca="false">IF($F18&lt;=50,"no core material",SUMIF('3. Sample Data'!$B$6:$B$53,$A18,'3. Sample Data'!$X$6:$X$53))</f>
        <v>no core material</v>
      </c>
      <c r="M18" s="23" t="n">
        <f aca="false">SUMIF('3. Sample Data'!$B$6:$B$53,$A18,'3. Sample Data'!$U$6:$U$53)+SUMIF('3. Sample Data'!$B$6:$B$53,$A18,'3. Sample Data'!$V$6:$V$53)</f>
        <v>11</v>
      </c>
      <c r="N18" s="19" t="n">
        <f aca="false">M18*10</f>
        <v>110</v>
      </c>
      <c r="O18" s="34" t="str">
        <f aca="false">IF($F18&gt;=30,"full 0–30 cm coverage","PARTIAL — core stops at "&amp;TEXT($F18,"0.0")&amp;" cm; 0–30 cm stock covers only "&amp;TEXT($F18/30,"0%")&amp;" of the interval")</f>
        <v>full 0–30 cm coverage</v>
      </c>
    </row>
    <row r="19" customFormat="false" ht="15" hidden="false" customHeight="false" outlineLevel="0" collapsed="false">
      <c r="A19" s="32" t="str">
        <f aca="false">'2. Core Log'!A19</f>
        <v>EX-15</v>
      </c>
      <c r="B19" s="17" t="n">
        <f aca="false">'2. Core Log'!B19</f>
        <v>2024</v>
      </c>
      <c r="C19" s="33" t="n">
        <f aca="false">'2. Core Log'!C19</f>
        <v>55.42</v>
      </c>
      <c r="D19" s="33" t="n">
        <f aca="false">'2. Core Log'!D19</f>
        <v>-86.32</v>
      </c>
      <c r="E19" s="17" t="n">
        <f aca="false">'2. Core Log'!H19</f>
        <v>3</v>
      </c>
      <c r="F19" s="18" t="n">
        <f aca="false">'2. Core Log'!J19</f>
        <v>40</v>
      </c>
      <c r="G19" s="23" t="n">
        <f aca="false">SUMIF('3. Sample Data'!$B$6:$B$53,$A19,'3. Sample Data'!$S$6:$S$53)</f>
        <v>25.8</v>
      </c>
      <c r="H19" s="19" t="n">
        <f aca="false">G19*10</f>
        <v>258</v>
      </c>
      <c r="I19" s="23" t="n">
        <f aca="false">IF($F19&lt;=0,"no core material",SUMIF('3. Sample Data'!$B$6:$B$53,$A19,'3. Sample Data'!$U$6:$U$53))</f>
        <v>14.8</v>
      </c>
      <c r="J19" s="23" t="n">
        <f aca="false">IF($F19&lt;=15,"no core material",SUMIF('3. Sample Data'!$B$6:$B$53,$A19,'3. Sample Data'!$V$6:$V$53))</f>
        <v>10.2</v>
      </c>
      <c r="K19" s="23" t="n">
        <f aca="false">IF($F19&lt;=30,"no core material",SUMIF('3. Sample Data'!$B$6:$B$53,$A19,'3. Sample Data'!$W$6:$W$53))</f>
        <v>0.8</v>
      </c>
      <c r="L19" s="23" t="str">
        <f aca="false">IF($F19&lt;=50,"no core material",SUMIF('3. Sample Data'!$B$6:$B$53,$A19,'3. Sample Data'!$X$6:$X$53))</f>
        <v>no core material</v>
      </c>
      <c r="M19" s="23" t="n">
        <f aca="false">SUMIF('3. Sample Data'!$B$6:$B$53,$A19,'3. Sample Data'!$U$6:$U$53)+SUMIF('3. Sample Data'!$B$6:$B$53,$A19,'3. Sample Data'!$V$6:$V$53)</f>
        <v>25</v>
      </c>
      <c r="N19" s="19" t="n">
        <f aca="false">M19*10</f>
        <v>250</v>
      </c>
      <c r="O19" s="34" t="str">
        <f aca="false">IF($F19&gt;=30,"full 0–30 cm coverage","PARTIAL — core stops at "&amp;TEXT($F19,"0.0")&amp;" cm; 0–30 cm stock covers only "&amp;TEXT($F19/30,"0%")&amp;" of the interval")</f>
        <v>full 0–30 cm coverage</v>
      </c>
    </row>
    <row r="20" customFormat="false" ht="15" hidden="false" customHeight="false" outlineLevel="0" collapsed="false">
      <c r="A20" s="32" t="str">
        <f aca="false">'2. Core Log'!A20</f>
        <v>EX-16</v>
      </c>
      <c r="B20" s="17" t="n">
        <f aca="false">'2. Core Log'!B20</f>
        <v>2024</v>
      </c>
      <c r="C20" s="33" t="n">
        <f aca="false">'2. Core Log'!C20</f>
        <v>55.45</v>
      </c>
      <c r="D20" s="33" t="n">
        <f aca="false">'2. Core Log'!D20</f>
        <v>-86.51</v>
      </c>
      <c r="E20" s="17" t="n">
        <f aca="false">'2. Core Log'!H20</f>
        <v>3</v>
      </c>
      <c r="F20" s="18" t="n">
        <f aca="false">'2. Core Log'!J20</f>
        <v>40</v>
      </c>
      <c r="G20" s="23" t="n">
        <f aca="false">SUMIF('3. Sample Data'!$B$6:$B$53,$A20,'3. Sample Data'!$S$6:$S$53)</f>
        <v>22.8</v>
      </c>
      <c r="H20" s="19" t="n">
        <f aca="false">G20*10</f>
        <v>228</v>
      </c>
      <c r="I20" s="23" t="n">
        <f aca="false">IF($F20&lt;=0,"no core material",SUMIF('3. Sample Data'!$B$6:$B$53,$A20,'3. Sample Data'!$U$6:$U$53))</f>
        <v>13</v>
      </c>
      <c r="J20" s="23" t="n">
        <f aca="false">IF($F20&lt;=15,"no core material",SUMIF('3. Sample Data'!$B$6:$B$53,$A20,'3. Sample Data'!$V$6:$V$53))</f>
        <v>9</v>
      </c>
      <c r="K20" s="23" t="n">
        <f aca="false">IF($F20&lt;=30,"no core material",SUMIF('3. Sample Data'!$B$6:$B$53,$A20,'3. Sample Data'!$W$6:$W$53))</f>
        <v>0.8</v>
      </c>
      <c r="L20" s="23" t="str">
        <f aca="false">IF($F20&lt;=50,"no core material",SUMIF('3. Sample Data'!$B$6:$B$53,$A20,'3. Sample Data'!$X$6:$X$53))</f>
        <v>no core material</v>
      </c>
      <c r="M20" s="23" t="n">
        <f aca="false">SUMIF('3. Sample Data'!$B$6:$B$53,$A20,'3. Sample Data'!$U$6:$U$53)+SUMIF('3. Sample Data'!$B$6:$B$53,$A20,'3. Sample Data'!$V$6:$V$53)</f>
        <v>22</v>
      </c>
      <c r="N20" s="19" t="n">
        <f aca="false">M20*10</f>
        <v>220</v>
      </c>
      <c r="O20" s="34" t="str">
        <f aca="false">IF($F20&gt;=30,"full 0–30 cm coverage","PARTIAL — core stops at "&amp;TEXT($F20,"0.0")&amp;" cm; 0–30 cm stock covers only "&amp;TEXT($F20/30,"0%")&amp;" of the interval")</f>
        <v>full 0–30 cm coverage</v>
      </c>
    </row>
    <row r="21" customFormat="false" ht="15" hidden="false" customHeight="false" outlineLevel="0" collapsed="false">
      <c r="A21" s="28" t="s">
        <v>199</v>
      </c>
      <c r="G21" s="29" t="n">
        <f aca="false">SUM(G5:G20)</f>
        <v>285.6</v>
      </c>
      <c r="M21" s="29" t="n">
        <f aca="false">AVERAGE(M5:M20)</f>
        <v>17</v>
      </c>
      <c r="N21" s="30" t="n">
        <f aca="false">M21*10</f>
        <v>170</v>
      </c>
      <c r="O21" s="35" t="s">
        <v>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6" min="1" style="0" width="14"/>
  </cols>
  <sheetData>
    <row r="1" customFormat="false" ht="15" hidden="false" customHeight="false" outlineLevel="0" collapsed="false">
      <c r="A1" s="11" t="s">
        <v>201</v>
      </c>
      <c r="B1" s="11" t="s">
        <v>202</v>
      </c>
      <c r="C1" s="11" t="s">
        <v>203</v>
      </c>
      <c r="D1" s="11" t="s">
        <v>204</v>
      </c>
      <c r="E1" s="11" t="s">
        <v>205</v>
      </c>
      <c r="F1" s="11" t="s">
        <v>206</v>
      </c>
    </row>
    <row r="2" customFormat="false" ht="15" hidden="false" customHeight="false" outlineLevel="0" collapsed="false">
      <c r="A2" s="32" t="str">
        <f aca="false">'3. Sample Data'!B6</f>
        <v>EX-01</v>
      </c>
      <c r="B2" s="18" t="n">
        <f aca="false">'3. Sample Data'!K6</f>
        <v>0</v>
      </c>
      <c r="C2" s="18" t="n">
        <f aca="false">'3. Sample Data'!L6</f>
        <v>10</v>
      </c>
      <c r="D2" s="36" t="n">
        <f aca="false">'3. Sample Data'!P6*10</f>
        <v>30</v>
      </c>
      <c r="E2" s="37" t="n">
        <f aca="false">'3. Sample Data'!M6</f>
        <v>0.8</v>
      </c>
      <c r="F2" s="18" t="n">
        <f aca="false">'3. Sample Data'!G6</f>
        <v>0</v>
      </c>
    </row>
    <row r="3" customFormat="false" ht="15" hidden="false" customHeight="false" outlineLevel="0" collapsed="false">
      <c r="A3" s="32" t="str">
        <f aca="false">'3. Sample Data'!B7</f>
        <v>EX-01</v>
      </c>
      <c r="B3" s="18" t="n">
        <f aca="false">'3. Sample Data'!K7</f>
        <v>10</v>
      </c>
      <c r="C3" s="18" t="n">
        <f aca="false">'3. Sample Data'!L7</f>
        <v>25</v>
      </c>
      <c r="D3" s="36" t="n">
        <f aca="false">'3. Sample Data'!P7*10</f>
        <v>20</v>
      </c>
      <c r="E3" s="37" t="n">
        <f aca="false">'3. Sample Data'!M7</f>
        <v>1</v>
      </c>
      <c r="F3" s="18" t="n">
        <f aca="false">'3. Sample Data'!G7</f>
        <v>0</v>
      </c>
    </row>
    <row r="4" customFormat="false" ht="15" hidden="false" customHeight="false" outlineLevel="0" collapsed="false">
      <c r="A4" s="32" t="str">
        <f aca="false">'3. Sample Data'!B8</f>
        <v>EX-01</v>
      </c>
      <c r="B4" s="18" t="n">
        <f aca="false">'3. Sample Data'!K8</f>
        <v>25</v>
      </c>
      <c r="C4" s="18" t="n">
        <f aca="false">'3. Sample Data'!L8</f>
        <v>40</v>
      </c>
      <c r="D4" s="36" t="n">
        <f aca="false">'3. Sample Data'!P8*10</f>
        <v>10</v>
      </c>
      <c r="E4" s="37" t="n">
        <f aca="false">'3. Sample Data'!M8</f>
        <v>1.2</v>
      </c>
      <c r="F4" s="18" t="n">
        <f aca="false">'3. Sample Data'!G8</f>
        <v>0</v>
      </c>
    </row>
    <row r="5" customFormat="false" ht="15" hidden="false" customHeight="false" outlineLevel="0" collapsed="false">
      <c r="A5" s="32" t="str">
        <f aca="false">'3. Sample Data'!B9</f>
        <v>EX-02</v>
      </c>
      <c r="B5" s="18" t="n">
        <f aca="false">'3. Sample Data'!K9</f>
        <v>0</v>
      </c>
      <c r="C5" s="18" t="n">
        <f aca="false">'3. Sample Data'!L9</f>
        <v>10</v>
      </c>
      <c r="D5" s="36" t="n">
        <f aca="false">'3. Sample Data'!P9*10</f>
        <v>95</v>
      </c>
      <c r="E5" s="37" t="n">
        <f aca="false">'3. Sample Data'!M9</f>
        <v>0.6</v>
      </c>
      <c r="F5" s="18" t="n">
        <f aca="false">'3. Sample Data'!G9</f>
        <v>0</v>
      </c>
    </row>
    <row r="6" customFormat="false" ht="15" hidden="false" customHeight="false" outlineLevel="0" collapsed="false">
      <c r="A6" s="32" t="str">
        <f aca="false">'3. Sample Data'!B10</f>
        <v>EX-02</v>
      </c>
      <c r="B6" s="18" t="n">
        <f aca="false">'3. Sample Data'!K10</f>
        <v>10</v>
      </c>
      <c r="C6" s="18" t="n">
        <f aca="false">'3. Sample Data'!L10</f>
        <v>25</v>
      </c>
      <c r="D6" s="36" t="n">
        <f aca="false">'3. Sample Data'!P10*10</f>
        <v>72.5</v>
      </c>
      <c r="E6" s="37" t="n">
        <f aca="false">'3. Sample Data'!M10</f>
        <v>0.8</v>
      </c>
      <c r="F6" s="18" t="n">
        <f aca="false">'3. Sample Data'!G10</f>
        <v>0</v>
      </c>
    </row>
    <row r="7" customFormat="false" ht="15" hidden="false" customHeight="false" outlineLevel="0" collapsed="false">
      <c r="A7" s="32" t="str">
        <f aca="false">'3. Sample Data'!B11</f>
        <v>EX-02</v>
      </c>
      <c r="B7" s="18" t="n">
        <f aca="false">'3. Sample Data'!K11</f>
        <v>25</v>
      </c>
      <c r="C7" s="18" t="n">
        <f aca="false">'3. Sample Data'!L11</f>
        <v>40</v>
      </c>
      <c r="D7" s="36" t="n">
        <f aca="false">'3. Sample Data'!P11*10</f>
        <v>12</v>
      </c>
      <c r="E7" s="37" t="n">
        <f aca="false">'3. Sample Data'!M11</f>
        <v>1</v>
      </c>
      <c r="F7" s="18" t="n">
        <f aca="false">'3. Sample Data'!G11</f>
        <v>0</v>
      </c>
    </row>
    <row r="8" customFormat="false" ht="15" hidden="false" customHeight="false" outlineLevel="0" collapsed="false">
      <c r="A8" s="32" t="str">
        <f aca="false">'3. Sample Data'!B12</f>
        <v>EX-03</v>
      </c>
      <c r="B8" s="18" t="n">
        <f aca="false">'3. Sample Data'!K12</f>
        <v>0</v>
      </c>
      <c r="C8" s="18" t="n">
        <f aca="false">'3. Sample Data'!L12</f>
        <v>10</v>
      </c>
      <c r="D8" s="36" t="n">
        <f aca="false">'3. Sample Data'!P12*10</f>
        <v>124</v>
      </c>
      <c r="E8" s="37" t="n">
        <f aca="false">'3. Sample Data'!M12</f>
        <v>0.75</v>
      </c>
      <c r="F8" s="18" t="n">
        <f aca="false">'3. Sample Data'!G12</f>
        <v>0</v>
      </c>
    </row>
    <row r="9" customFormat="false" ht="15" hidden="false" customHeight="false" outlineLevel="0" collapsed="false">
      <c r="A9" s="32" t="str">
        <f aca="false">'3. Sample Data'!B13</f>
        <v>EX-03</v>
      </c>
      <c r="B9" s="18" t="n">
        <f aca="false">'3. Sample Data'!K13</f>
        <v>10</v>
      </c>
      <c r="C9" s="18" t="n">
        <f aca="false">'3. Sample Data'!L13</f>
        <v>25</v>
      </c>
      <c r="D9" s="36" t="n">
        <f aca="false">'3. Sample Data'!P13*10</f>
        <v>75.2</v>
      </c>
      <c r="E9" s="37" t="n">
        <f aca="false">'3. Sample Data'!M13</f>
        <v>1.25</v>
      </c>
      <c r="F9" s="18" t="n">
        <f aca="false">'3. Sample Data'!G13</f>
        <v>0</v>
      </c>
    </row>
    <row r="10" customFormat="false" ht="15" hidden="false" customHeight="false" outlineLevel="0" collapsed="false">
      <c r="A10" s="32" t="str">
        <f aca="false">'3. Sample Data'!B14</f>
        <v>EX-03</v>
      </c>
      <c r="B10" s="18" t="n">
        <f aca="false">'3. Sample Data'!K14</f>
        <v>25</v>
      </c>
      <c r="C10" s="18" t="n">
        <f aca="false">'3. Sample Data'!L14</f>
        <v>40</v>
      </c>
      <c r="D10" s="36" t="n">
        <f aca="false">'3. Sample Data'!P14*10</f>
        <v>15</v>
      </c>
      <c r="E10" s="37" t="n">
        <f aca="false">'3. Sample Data'!M14</f>
        <v>0.8</v>
      </c>
      <c r="F10" s="18" t="n">
        <f aca="false">'3. Sample Data'!G14</f>
        <v>0</v>
      </c>
    </row>
    <row r="11" customFormat="false" ht="15" hidden="false" customHeight="false" outlineLevel="0" collapsed="false">
      <c r="A11" s="32" t="str">
        <f aca="false">'3. Sample Data'!B15</f>
        <v>EX-04</v>
      </c>
      <c r="B11" s="18" t="n">
        <f aca="false">'3. Sample Data'!K15</f>
        <v>0</v>
      </c>
      <c r="C11" s="18" t="n">
        <f aca="false">'3. Sample Data'!L15</f>
        <v>10</v>
      </c>
      <c r="D11" s="36" t="n">
        <f aca="false">'3. Sample Data'!P15*10</f>
        <v>22.5</v>
      </c>
      <c r="E11" s="37" t="n">
        <f aca="false">'3. Sample Data'!M15</f>
        <v>1.2</v>
      </c>
      <c r="F11" s="18" t="n">
        <f aca="false">'3. Sample Data'!G15</f>
        <v>0</v>
      </c>
    </row>
    <row r="12" customFormat="false" ht="15" hidden="false" customHeight="false" outlineLevel="0" collapsed="false">
      <c r="A12" s="32" t="str">
        <f aca="false">'3. Sample Data'!B16</f>
        <v>EX-04</v>
      </c>
      <c r="B12" s="18" t="n">
        <f aca="false">'3. Sample Data'!K16</f>
        <v>10</v>
      </c>
      <c r="C12" s="18" t="n">
        <f aca="false">'3. Sample Data'!L16</f>
        <v>25</v>
      </c>
      <c r="D12" s="36" t="n">
        <f aca="false">'3. Sample Data'!P16*10</f>
        <v>26</v>
      </c>
      <c r="E12" s="37" t="n">
        <f aca="false">'3. Sample Data'!M16</f>
        <v>1</v>
      </c>
      <c r="F12" s="18" t="n">
        <f aca="false">'3. Sample Data'!G16</f>
        <v>0</v>
      </c>
    </row>
    <row r="13" customFormat="false" ht="15" hidden="false" customHeight="false" outlineLevel="0" collapsed="false">
      <c r="A13" s="32" t="str">
        <f aca="false">'3. Sample Data'!B17</f>
        <v>EX-04</v>
      </c>
      <c r="B13" s="18" t="n">
        <f aca="false">'3. Sample Data'!K17</f>
        <v>25</v>
      </c>
      <c r="C13" s="18" t="n">
        <f aca="false">'3. Sample Data'!L17</f>
        <v>40</v>
      </c>
      <c r="D13" s="36" t="n">
        <f aca="false">'3. Sample Data'!P17*10</f>
        <v>6.4</v>
      </c>
      <c r="E13" s="37" t="n">
        <f aca="false">'3. Sample Data'!M17</f>
        <v>1.25</v>
      </c>
      <c r="F13" s="18" t="n">
        <f aca="false">'3. Sample Data'!G17</f>
        <v>0</v>
      </c>
    </row>
    <row r="14" customFormat="false" ht="15" hidden="false" customHeight="false" outlineLevel="0" collapsed="false">
      <c r="A14" s="32" t="str">
        <f aca="false">'3. Sample Data'!B18</f>
        <v>EX-05</v>
      </c>
      <c r="B14" s="18" t="n">
        <f aca="false">'3. Sample Data'!K18</f>
        <v>0</v>
      </c>
      <c r="C14" s="18" t="n">
        <f aca="false">'3. Sample Data'!L18</f>
        <v>10</v>
      </c>
      <c r="D14" s="36" t="n">
        <f aca="false">'3. Sample Data'!P18*10</f>
        <v>74</v>
      </c>
      <c r="E14" s="37" t="n">
        <f aca="false">'3. Sample Data'!M18</f>
        <v>1.5</v>
      </c>
      <c r="F14" s="18" t="n">
        <f aca="false">'3. Sample Data'!G18</f>
        <v>0</v>
      </c>
    </row>
    <row r="15" customFormat="false" ht="15" hidden="false" customHeight="false" outlineLevel="0" collapsed="false">
      <c r="A15" s="32" t="str">
        <f aca="false">'3. Sample Data'!B19</f>
        <v>EX-05</v>
      </c>
      <c r="B15" s="18" t="n">
        <f aca="false">'3. Sample Data'!K19</f>
        <v>10</v>
      </c>
      <c r="C15" s="18" t="n">
        <f aca="false">'3. Sample Data'!L19</f>
        <v>25</v>
      </c>
      <c r="D15" s="36" t="n">
        <f aca="false">'3. Sample Data'!P19*10</f>
        <v>137.5</v>
      </c>
      <c r="E15" s="37" t="n">
        <f aca="false">'3. Sample Data'!M19</f>
        <v>0.8</v>
      </c>
      <c r="F15" s="18" t="n">
        <f aca="false">'3. Sample Data'!G19</f>
        <v>0</v>
      </c>
    </row>
    <row r="16" customFormat="false" ht="15" hidden="false" customHeight="false" outlineLevel="0" collapsed="false">
      <c r="A16" s="32" t="str">
        <f aca="false">'3. Sample Data'!B20</f>
        <v>EX-05</v>
      </c>
      <c r="B16" s="18" t="n">
        <f aca="false">'3. Sample Data'!K20</f>
        <v>25</v>
      </c>
      <c r="C16" s="18" t="n">
        <f aca="false">'3. Sample Data'!L20</f>
        <v>40</v>
      </c>
      <c r="D16" s="36" t="n">
        <f aca="false">'3. Sample Data'!P20*10</f>
        <v>8</v>
      </c>
      <c r="E16" s="37" t="n">
        <f aca="false">'3. Sample Data'!M20</f>
        <v>1</v>
      </c>
      <c r="F16" s="18" t="n">
        <f aca="false">'3. Sample Data'!G20</f>
        <v>0</v>
      </c>
    </row>
    <row r="17" customFormat="false" ht="15" hidden="false" customHeight="false" outlineLevel="0" collapsed="false">
      <c r="A17" s="32" t="str">
        <f aca="false">'3. Sample Data'!B21</f>
        <v>EX-06</v>
      </c>
      <c r="B17" s="18" t="n">
        <f aca="false">'3. Sample Data'!K21</f>
        <v>0</v>
      </c>
      <c r="C17" s="18" t="n">
        <f aca="false">'3. Sample Data'!L21</f>
        <v>10</v>
      </c>
      <c r="D17" s="36" t="n">
        <f aca="false">'3. Sample Data'!P21*10</f>
        <v>65</v>
      </c>
      <c r="E17" s="37" t="n">
        <f aca="false">'3. Sample Data'!M21</f>
        <v>0.6</v>
      </c>
      <c r="F17" s="18" t="n">
        <f aca="false">'3. Sample Data'!G21</f>
        <v>0</v>
      </c>
    </row>
    <row r="18" customFormat="false" ht="15" hidden="false" customHeight="false" outlineLevel="0" collapsed="false">
      <c r="A18" s="32" t="str">
        <f aca="false">'3. Sample Data'!B22</f>
        <v>EX-06</v>
      </c>
      <c r="B18" s="18" t="n">
        <f aca="false">'3. Sample Data'!K22</f>
        <v>10</v>
      </c>
      <c r="C18" s="18" t="n">
        <f aca="false">'3. Sample Data'!L22</f>
        <v>25</v>
      </c>
      <c r="D18" s="36" t="n">
        <f aca="false">'3. Sample Data'!P22*10</f>
        <v>30.4</v>
      </c>
      <c r="E18" s="37" t="n">
        <f aca="false">'3. Sample Data'!M22</f>
        <v>1.25</v>
      </c>
      <c r="F18" s="18" t="n">
        <f aca="false">'3. Sample Data'!G22</f>
        <v>0</v>
      </c>
    </row>
    <row r="19" customFormat="false" ht="15" hidden="false" customHeight="false" outlineLevel="0" collapsed="false">
      <c r="A19" s="32" t="str">
        <f aca="false">'3. Sample Data'!B23</f>
        <v>EX-06</v>
      </c>
      <c r="B19" s="18" t="n">
        <f aca="false">'3. Sample Data'!K23</f>
        <v>25</v>
      </c>
      <c r="C19" s="18" t="n">
        <f aca="false">'3. Sample Data'!L23</f>
        <v>40</v>
      </c>
      <c r="D19" s="36" t="n">
        <f aca="false">'3. Sample Data'!P23*10</f>
        <v>8</v>
      </c>
      <c r="E19" s="37" t="n">
        <f aca="false">'3. Sample Data'!M23</f>
        <v>1</v>
      </c>
      <c r="F19" s="18" t="n">
        <f aca="false">'3. Sample Data'!G23</f>
        <v>0</v>
      </c>
    </row>
    <row r="20" customFormat="false" ht="15" hidden="false" customHeight="false" outlineLevel="0" collapsed="false">
      <c r="A20" s="32" t="str">
        <f aca="false">'3. Sample Data'!B24</f>
        <v>EX-07</v>
      </c>
      <c r="B20" s="18" t="n">
        <f aca="false">'3. Sample Data'!K24</f>
        <v>0</v>
      </c>
      <c r="C20" s="18" t="n">
        <f aca="false">'3. Sample Data'!L24</f>
        <v>10</v>
      </c>
      <c r="D20" s="36" t="n">
        <f aca="false">'3. Sample Data'!P24*10</f>
        <v>150</v>
      </c>
      <c r="E20" s="37" t="n">
        <f aca="false">'3. Sample Data'!M24</f>
        <v>0.6</v>
      </c>
      <c r="F20" s="18" t="n">
        <f aca="false">'3. Sample Data'!G24</f>
        <v>0</v>
      </c>
    </row>
    <row r="21" customFormat="false" ht="15" hidden="false" customHeight="false" outlineLevel="0" collapsed="false">
      <c r="A21" s="32" t="str">
        <f aca="false">'3. Sample Data'!B25</f>
        <v>EX-07</v>
      </c>
      <c r="B21" s="18" t="n">
        <f aca="false">'3. Sample Data'!K25</f>
        <v>10</v>
      </c>
      <c r="C21" s="18" t="n">
        <f aca="false">'3. Sample Data'!L25</f>
        <v>25</v>
      </c>
      <c r="D21" s="36" t="n">
        <f aca="false">'3. Sample Data'!P25*10</f>
        <v>92</v>
      </c>
      <c r="E21" s="37" t="n">
        <f aca="false">'3. Sample Data'!M25</f>
        <v>1</v>
      </c>
      <c r="F21" s="18" t="n">
        <f aca="false">'3. Sample Data'!G25</f>
        <v>0</v>
      </c>
    </row>
    <row r="22" customFormat="false" ht="15" hidden="false" customHeight="false" outlineLevel="0" collapsed="false">
      <c r="A22" s="32" t="str">
        <f aca="false">'3. Sample Data'!B26</f>
        <v>EX-07</v>
      </c>
      <c r="B22" s="18" t="n">
        <f aca="false">'3. Sample Data'!K26</f>
        <v>25</v>
      </c>
      <c r="C22" s="18" t="n">
        <f aca="false">'3. Sample Data'!L26</f>
        <v>40</v>
      </c>
      <c r="D22" s="36" t="n">
        <f aca="false">'3. Sample Data'!P26*10</f>
        <v>5</v>
      </c>
      <c r="E22" s="37" t="n">
        <f aca="false">'3. Sample Data'!M26</f>
        <v>0.8</v>
      </c>
      <c r="F22" s="18" t="n">
        <f aca="false">'3. Sample Data'!G26</f>
        <v>0</v>
      </c>
    </row>
    <row r="23" customFormat="false" ht="15" hidden="false" customHeight="false" outlineLevel="0" collapsed="false">
      <c r="A23" s="32" t="str">
        <f aca="false">'3. Sample Data'!B27</f>
        <v>EX-08</v>
      </c>
      <c r="B23" s="18" t="n">
        <f aca="false">'3. Sample Data'!K27</f>
        <v>0</v>
      </c>
      <c r="C23" s="18" t="n">
        <f aca="false">'3. Sample Data'!L27</f>
        <v>10</v>
      </c>
      <c r="D23" s="36" t="n">
        <f aca="false">'3. Sample Data'!P27*10</f>
        <v>40</v>
      </c>
      <c r="E23" s="37" t="n">
        <f aca="false">'3. Sample Data'!M27</f>
        <v>0.75</v>
      </c>
      <c r="F23" s="18" t="n">
        <f aca="false">'3. Sample Data'!G27</f>
        <v>0</v>
      </c>
    </row>
    <row r="24" customFormat="false" ht="15" hidden="false" customHeight="false" outlineLevel="0" collapsed="false">
      <c r="A24" s="32" t="str">
        <f aca="false">'3. Sample Data'!B28</f>
        <v>EX-08</v>
      </c>
      <c r="B24" s="18" t="n">
        <f aca="false">'3. Sample Data'!K28</f>
        <v>10</v>
      </c>
      <c r="C24" s="18" t="n">
        <f aca="false">'3. Sample Data'!L28</f>
        <v>25</v>
      </c>
      <c r="D24" s="36" t="n">
        <f aca="false">'3. Sample Data'!P28*10</f>
        <v>40</v>
      </c>
      <c r="E24" s="37" t="n">
        <f aca="false">'3. Sample Data'!M28</f>
        <v>0.8</v>
      </c>
      <c r="F24" s="18" t="n">
        <f aca="false">'3. Sample Data'!G28</f>
        <v>0</v>
      </c>
    </row>
    <row r="25" customFormat="false" ht="15" hidden="false" customHeight="false" outlineLevel="0" collapsed="false">
      <c r="A25" s="32" t="str">
        <f aca="false">'3. Sample Data'!B29</f>
        <v>EX-08</v>
      </c>
      <c r="B25" s="18" t="n">
        <f aca="false">'3. Sample Data'!K29</f>
        <v>25</v>
      </c>
      <c r="C25" s="18" t="n">
        <f aca="false">'3. Sample Data'!L29</f>
        <v>40</v>
      </c>
      <c r="D25" s="36" t="n">
        <f aca="false">'3. Sample Data'!P29*10</f>
        <v>3.2</v>
      </c>
      <c r="E25" s="37" t="n">
        <f aca="false">'3. Sample Data'!M29</f>
        <v>1.25</v>
      </c>
      <c r="F25" s="18" t="n">
        <f aca="false">'3. Sample Data'!G29</f>
        <v>0</v>
      </c>
    </row>
    <row r="26" customFormat="false" ht="15" hidden="false" customHeight="false" outlineLevel="0" collapsed="false">
      <c r="A26" s="32" t="str">
        <f aca="false">'3. Sample Data'!B30</f>
        <v>EX-09</v>
      </c>
      <c r="B26" s="18" t="n">
        <f aca="false">'3. Sample Data'!K30</f>
        <v>0</v>
      </c>
      <c r="C26" s="18" t="n">
        <f aca="false">'3. Sample Data'!L30</f>
        <v>10</v>
      </c>
      <c r="D26" s="36" t="n">
        <f aca="false">'3. Sample Data'!P30*10</f>
        <v>85</v>
      </c>
      <c r="E26" s="37" t="n">
        <f aca="false">'3. Sample Data'!M30</f>
        <v>1.2</v>
      </c>
      <c r="F26" s="18" t="n">
        <f aca="false">'3. Sample Data'!G30</f>
        <v>0</v>
      </c>
    </row>
    <row r="27" customFormat="false" ht="15" hidden="false" customHeight="false" outlineLevel="0" collapsed="false">
      <c r="A27" s="32" t="str">
        <f aca="false">'3. Sample Data'!B31</f>
        <v>EX-09</v>
      </c>
      <c r="B27" s="18" t="n">
        <f aca="false">'3. Sample Data'!K31</f>
        <v>10</v>
      </c>
      <c r="C27" s="18" t="n">
        <f aca="false">'3. Sample Data'!L31</f>
        <v>25</v>
      </c>
      <c r="D27" s="36" t="n">
        <f aca="false">'3. Sample Data'!P31*10</f>
        <v>83.2</v>
      </c>
      <c r="E27" s="37" t="n">
        <f aca="false">'3. Sample Data'!M31</f>
        <v>1.25</v>
      </c>
      <c r="F27" s="18" t="n">
        <f aca="false">'3. Sample Data'!G31</f>
        <v>0</v>
      </c>
    </row>
    <row r="28" customFormat="false" ht="15" hidden="false" customHeight="false" outlineLevel="0" collapsed="false">
      <c r="A28" s="32" t="str">
        <f aca="false">'3. Sample Data'!B32</f>
        <v>EX-09</v>
      </c>
      <c r="B28" s="18" t="n">
        <f aca="false">'3. Sample Data'!K32</f>
        <v>25</v>
      </c>
      <c r="C28" s="18" t="n">
        <f aca="false">'3. Sample Data'!L32</f>
        <v>40</v>
      </c>
      <c r="D28" s="36" t="n">
        <f aca="false">'3. Sample Data'!P32*10</f>
        <v>4</v>
      </c>
      <c r="E28" s="37" t="n">
        <f aca="false">'3. Sample Data'!M32</f>
        <v>1</v>
      </c>
      <c r="F28" s="18" t="n">
        <f aca="false">'3. Sample Data'!G32</f>
        <v>0</v>
      </c>
    </row>
    <row r="29" customFormat="false" ht="15" hidden="false" customHeight="false" outlineLevel="0" collapsed="false">
      <c r="A29" s="32" t="str">
        <f aca="false">'3. Sample Data'!B33</f>
        <v>EX-10</v>
      </c>
      <c r="B29" s="18" t="n">
        <f aca="false">'3. Sample Data'!K33</f>
        <v>0</v>
      </c>
      <c r="C29" s="18" t="n">
        <f aca="false">'3. Sample Data'!L33</f>
        <v>10</v>
      </c>
      <c r="D29" s="36" t="n">
        <f aca="false">'3. Sample Data'!P33*10</f>
        <v>30</v>
      </c>
      <c r="E29" s="37" t="n">
        <f aca="false">'3. Sample Data'!M33</f>
        <v>1.5</v>
      </c>
      <c r="F29" s="18" t="n">
        <f aca="false">'3. Sample Data'!G33</f>
        <v>0</v>
      </c>
    </row>
    <row r="30" customFormat="false" ht="15" hidden="false" customHeight="false" outlineLevel="0" collapsed="false">
      <c r="A30" s="32" t="str">
        <f aca="false">'3. Sample Data'!B34</f>
        <v>EX-10</v>
      </c>
      <c r="B30" s="18" t="n">
        <f aca="false">'3. Sample Data'!K34</f>
        <v>10</v>
      </c>
      <c r="C30" s="18" t="n">
        <f aca="false">'3. Sample Data'!L34</f>
        <v>25</v>
      </c>
      <c r="D30" s="36" t="n">
        <f aca="false">'3. Sample Data'!P34*10</f>
        <v>46</v>
      </c>
      <c r="E30" s="37" t="n">
        <f aca="false">'3. Sample Data'!M34</f>
        <v>1</v>
      </c>
      <c r="F30" s="18" t="n">
        <f aca="false">'3. Sample Data'!G34</f>
        <v>0</v>
      </c>
    </row>
    <row r="31" customFormat="false" ht="15" hidden="false" customHeight="false" outlineLevel="0" collapsed="false">
      <c r="A31" s="32" t="str">
        <f aca="false">'3. Sample Data'!B35</f>
        <v>EX-10</v>
      </c>
      <c r="B31" s="18" t="n">
        <f aca="false">'3. Sample Data'!K35</f>
        <v>25</v>
      </c>
      <c r="C31" s="18" t="n">
        <f aca="false">'3. Sample Data'!L35</f>
        <v>40</v>
      </c>
      <c r="D31" s="36" t="n">
        <f aca="false">'3. Sample Data'!P35*10</f>
        <v>12</v>
      </c>
      <c r="E31" s="37" t="n">
        <f aca="false">'3. Sample Data'!M35</f>
        <v>1</v>
      </c>
      <c r="F31" s="18" t="n">
        <f aca="false">'3. Sample Data'!G35</f>
        <v>0</v>
      </c>
    </row>
    <row r="32" customFormat="false" ht="15" hidden="false" customHeight="false" outlineLevel="0" collapsed="false">
      <c r="A32" s="32" t="str">
        <f aca="false">'3. Sample Data'!B36</f>
        <v>EX-11</v>
      </c>
      <c r="B32" s="18" t="n">
        <f aca="false">'3. Sample Data'!K36</f>
        <v>0</v>
      </c>
      <c r="C32" s="18" t="n">
        <f aca="false">'3. Sample Data'!L36</f>
        <v>10</v>
      </c>
      <c r="D32" s="36" t="n">
        <f aca="false">'3. Sample Data'!P36*10</f>
        <v>125</v>
      </c>
      <c r="E32" s="37" t="n">
        <f aca="false">'3. Sample Data'!M36</f>
        <v>0.6</v>
      </c>
      <c r="F32" s="18" t="n">
        <f aca="false">'3. Sample Data'!G36</f>
        <v>0</v>
      </c>
    </row>
    <row r="33" customFormat="false" ht="15" hidden="false" customHeight="false" outlineLevel="0" collapsed="false">
      <c r="A33" s="32" t="str">
        <f aca="false">'3. Sample Data'!B37</f>
        <v>EX-11</v>
      </c>
      <c r="B33" s="18" t="n">
        <f aca="false">'3. Sample Data'!K37</f>
        <v>10</v>
      </c>
      <c r="C33" s="18" t="n">
        <f aca="false">'3. Sample Data'!L37</f>
        <v>25</v>
      </c>
      <c r="D33" s="36" t="n">
        <f aca="false">'3. Sample Data'!P37*10</f>
        <v>92.5</v>
      </c>
      <c r="E33" s="37" t="n">
        <f aca="false">'3. Sample Data'!M37</f>
        <v>0.8</v>
      </c>
      <c r="F33" s="18" t="n">
        <f aca="false">'3. Sample Data'!G37</f>
        <v>0</v>
      </c>
    </row>
    <row r="34" customFormat="false" ht="15" hidden="false" customHeight="false" outlineLevel="0" collapsed="false">
      <c r="A34" s="32" t="str">
        <f aca="false">'3. Sample Data'!B38</f>
        <v>EX-11</v>
      </c>
      <c r="B34" s="18" t="n">
        <f aca="false">'3. Sample Data'!K38</f>
        <v>25</v>
      </c>
      <c r="C34" s="18" t="n">
        <f aca="false">'3. Sample Data'!L38</f>
        <v>40</v>
      </c>
      <c r="D34" s="36" t="n">
        <f aca="false">'3. Sample Data'!P38*10</f>
        <v>10</v>
      </c>
      <c r="E34" s="37" t="n">
        <f aca="false">'3. Sample Data'!M38</f>
        <v>0.8</v>
      </c>
      <c r="F34" s="18" t="n">
        <f aca="false">'3. Sample Data'!G38</f>
        <v>0</v>
      </c>
    </row>
    <row r="35" customFormat="false" ht="15" hidden="false" customHeight="false" outlineLevel="0" collapsed="false">
      <c r="A35" s="32" t="str">
        <f aca="false">'3. Sample Data'!B39</f>
        <v>EX-12</v>
      </c>
      <c r="B35" s="18" t="n">
        <f aca="false">'3. Sample Data'!K39</f>
        <v>0</v>
      </c>
      <c r="C35" s="18" t="n">
        <f aca="false">'3. Sample Data'!L39</f>
        <v>10</v>
      </c>
      <c r="D35" s="36" t="n">
        <f aca="false">'3. Sample Data'!P39*10</f>
        <v>55</v>
      </c>
      <c r="E35" s="37" t="n">
        <f aca="false">'3. Sample Data'!M39</f>
        <v>0.6</v>
      </c>
      <c r="F35" s="18" t="n">
        <f aca="false">'3. Sample Data'!G39</f>
        <v>0</v>
      </c>
    </row>
    <row r="36" customFormat="false" ht="15" hidden="false" customHeight="false" outlineLevel="0" collapsed="false">
      <c r="A36" s="32" t="str">
        <f aca="false">'3. Sample Data'!B40</f>
        <v>EX-12</v>
      </c>
      <c r="B36" s="18" t="n">
        <f aca="false">'3. Sample Data'!K40</f>
        <v>10</v>
      </c>
      <c r="C36" s="18" t="n">
        <f aca="false">'3. Sample Data'!L40</f>
        <v>25</v>
      </c>
      <c r="D36" s="36" t="n">
        <f aca="false">'3. Sample Data'!P40*10</f>
        <v>27.2</v>
      </c>
      <c r="E36" s="37" t="n">
        <f aca="false">'3. Sample Data'!M40</f>
        <v>1.25</v>
      </c>
      <c r="F36" s="18" t="n">
        <f aca="false">'3. Sample Data'!G40</f>
        <v>0</v>
      </c>
    </row>
    <row r="37" customFormat="false" ht="15" hidden="false" customHeight="false" outlineLevel="0" collapsed="false">
      <c r="A37" s="32" t="str">
        <f aca="false">'3. Sample Data'!B41</f>
        <v>EX-12</v>
      </c>
      <c r="B37" s="18" t="n">
        <f aca="false">'3. Sample Data'!K41</f>
        <v>25</v>
      </c>
      <c r="C37" s="18" t="n">
        <f aca="false">'3. Sample Data'!L41</f>
        <v>40</v>
      </c>
      <c r="D37" s="36" t="n">
        <f aca="false">'3. Sample Data'!P41*10</f>
        <v>9.6</v>
      </c>
      <c r="E37" s="37" t="n">
        <f aca="false">'3. Sample Data'!M41</f>
        <v>1.25</v>
      </c>
      <c r="F37" s="18" t="n">
        <f aca="false">'3. Sample Data'!G41</f>
        <v>0</v>
      </c>
    </row>
    <row r="38" customFormat="false" ht="15" hidden="false" customHeight="false" outlineLevel="0" collapsed="false">
      <c r="A38" s="32" t="str">
        <f aca="false">'3. Sample Data'!B42</f>
        <v>EX-13</v>
      </c>
      <c r="B38" s="18" t="n">
        <f aca="false">'3. Sample Data'!K42</f>
        <v>0</v>
      </c>
      <c r="C38" s="18" t="n">
        <f aca="false">'3. Sample Data'!L42</f>
        <v>10</v>
      </c>
      <c r="D38" s="36" t="n">
        <f aca="false">'3. Sample Data'!P42*10</f>
        <v>140</v>
      </c>
      <c r="E38" s="37" t="n">
        <f aca="false">'3. Sample Data'!M42</f>
        <v>0.75</v>
      </c>
      <c r="F38" s="18" t="n">
        <f aca="false">'3. Sample Data'!G42</f>
        <v>0</v>
      </c>
    </row>
    <row r="39" customFormat="false" ht="15" hidden="false" customHeight="false" outlineLevel="0" collapsed="false">
      <c r="A39" s="32" t="str">
        <f aca="false">'3. Sample Data'!B43</f>
        <v>EX-13</v>
      </c>
      <c r="B39" s="18" t="n">
        <f aca="false">'3. Sample Data'!K43</f>
        <v>10</v>
      </c>
      <c r="C39" s="18" t="n">
        <f aca="false">'3. Sample Data'!L43</f>
        <v>25</v>
      </c>
      <c r="D39" s="36" t="n">
        <f aca="false">'3. Sample Data'!P43*10</f>
        <v>106</v>
      </c>
      <c r="E39" s="37" t="n">
        <f aca="false">'3. Sample Data'!M43</f>
        <v>1</v>
      </c>
      <c r="F39" s="18" t="n">
        <f aca="false">'3. Sample Data'!G43</f>
        <v>0</v>
      </c>
    </row>
    <row r="40" customFormat="false" ht="15" hidden="false" customHeight="false" outlineLevel="0" collapsed="false">
      <c r="A40" s="32" t="str">
        <f aca="false">'3. Sample Data'!B44</f>
        <v>EX-13</v>
      </c>
      <c r="B40" s="18" t="n">
        <f aca="false">'3. Sample Data'!K44</f>
        <v>25</v>
      </c>
      <c r="C40" s="18" t="n">
        <f aca="false">'3. Sample Data'!L44</f>
        <v>40</v>
      </c>
      <c r="D40" s="36" t="n">
        <f aca="false">'3. Sample Data'!P44*10</f>
        <v>10</v>
      </c>
      <c r="E40" s="37" t="n">
        <f aca="false">'3. Sample Data'!M44</f>
        <v>1.2</v>
      </c>
      <c r="F40" s="18" t="n">
        <f aca="false">'3. Sample Data'!G44</f>
        <v>0</v>
      </c>
    </row>
    <row r="41" customFormat="false" ht="15" hidden="false" customHeight="false" outlineLevel="0" collapsed="false">
      <c r="A41" s="32" t="str">
        <f aca="false">'3. Sample Data'!B45</f>
        <v>EX-14</v>
      </c>
      <c r="B41" s="18" t="n">
        <f aca="false">'3. Sample Data'!K45</f>
        <v>0</v>
      </c>
      <c r="C41" s="18" t="n">
        <f aca="false">'3. Sample Data'!L45</f>
        <v>10</v>
      </c>
      <c r="D41" s="36" t="n">
        <f aca="false">'3. Sample Data'!P45*10</f>
        <v>35</v>
      </c>
      <c r="E41" s="37" t="n">
        <f aca="false">'3. Sample Data'!M45</f>
        <v>1.2</v>
      </c>
      <c r="F41" s="18" t="n">
        <f aca="false">'3. Sample Data'!G45</f>
        <v>0</v>
      </c>
    </row>
    <row r="42" customFormat="false" ht="15" hidden="false" customHeight="false" outlineLevel="0" collapsed="false">
      <c r="A42" s="32" t="str">
        <f aca="false">'3. Sample Data'!B46</f>
        <v>EX-14</v>
      </c>
      <c r="B42" s="18" t="n">
        <f aca="false">'3. Sample Data'!K46</f>
        <v>10</v>
      </c>
      <c r="C42" s="18" t="n">
        <f aca="false">'3. Sample Data'!L46</f>
        <v>25</v>
      </c>
      <c r="D42" s="36" t="n">
        <f aca="false">'3. Sample Data'!P46*10</f>
        <v>55</v>
      </c>
      <c r="E42" s="37" t="n">
        <f aca="false">'3. Sample Data'!M46</f>
        <v>0.8</v>
      </c>
      <c r="F42" s="18" t="n">
        <f aca="false">'3. Sample Data'!G46</f>
        <v>0</v>
      </c>
    </row>
    <row r="43" customFormat="false" ht="15" hidden="false" customHeight="false" outlineLevel="0" collapsed="false">
      <c r="A43" s="32" t="str">
        <f aca="false">'3. Sample Data'!B47</f>
        <v>EX-14</v>
      </c>
      <c r="B43" s="18" t="n">
        <f aca="false">'3. Sample Data'!K47</f>
        <v>25</v>
      </c>
      <c r="C43" s="18" t="n">
        <f aca="false">'3. Sample Data'!L47</f>
        <v>40</v>
      </c>
      <c r="D43" s="36" t="n">
        <f aca="false">'3. Sample Data'!P47*10</f>
        <v>4</v>
      </c>
      <c r="E43" s="37" t="n">
        <f aca="false">'3. Sample Data'!M47</f>
        <v>1</v>
      </c>
      <c r="F43" s="18" t="n">
        <f aca="false">'3. Sample Data'!G47</f>
        <v>0</v>
      </c>
    </row>
    <row r="44" customFormat="false" ht="15" hidden="false" customHeight="false" outlineLevel="0" collapsed="false">
      <c r="A44" s="32" t="str">
        <f aca="false">'3. Sample Data'!B48</f>
        <v>EX-15</v>
      </c>
      <c r="B44" s="18" t="n">
        <f aca="false">'3. Sample Data'!K48</f>
        <v>0</v>
      </c>
      <c r="C44" s="18" t="n">
        <f aca="false">'3. Sample Data'!L48</f>
        <v>10</v>
      </c>
      <c r="D44" s="36" t="n">
        <f aca="false">'3. Sample Data'!P48*10</f>
        <v>66</v>
      </c>
      <c r="E44" s="37" t="n">
        <f aca="false">'3. Sample Data'!M48</f>
        <v>1.5</v>
      </c>
      <c r="F44" s="18" t="n">
        <f aca="false">'3. Sample Data'!G48</f>
        <v>0</v>
      </c>
    </row>
    <row r="45" customFormat="false" ht="15" hidden="false" customHeight="false" outlineLevel="0" collapsed="false">
      <c r="A45" s="32" t="str">
        <f aca="false">'3. Sample Data'!B49</f>
        <v>EX-15</v>
      </c>
      <c r="B45" s="18" t="n">
        <f aca="false">'3. Sample Data'!K49</f>
        <v>10</v>
      </c>
      <c r="C45" s="18" t="n">
        <f aca="false">'3. Sample Data'!L49</f>
        <v>25</v>
      </c>
      <c r="D45" s="36" t="n">
        <f aca="false">'3. Sample Data'!P49*10</f>
        <v>78.4</v>
      </c>
      <c r="E45" s="37" t="n">
        <f aca="false">'3. Sample Data'!M49</f>
        <v>1.25</v>
      </c>
      <c r="F45" s="18" t="n">
        <f aca="false">'3. Sample Data'!G49</f>
        <v>0</v>
      </c>
    </row>
    <row r="46" customFormat="false" ht="15" hidden="false" customHeight="false" outlineLevel="0" collapsed="false">
      <c r="A46" s="32" t="str">
        <f aca="false">'3. Sample Data'!B50</f>
        <v>EX-15</v>
      </c>
      <c r="B46" s="18" t="n">
        <f aca="false">'3. Sample Data'!K50</f>
        <v>25</v>
      </c>
      <c r="C46" s="18" t="n">
        <f aca="false">'3. Sample Data'!L50</f>
        <v>40</v>
      </c>
      <c r="D46" s="36" t="n">
        <f aca="false">'3. Sample Data'!P50*10</f>
        <v>10</v>
      </c>
      <c r="E46" s="37" t="n">
        <f aca="false">'3. Sample Data'!M50</f>
        <v>0.8</v>
      </c>
      <c r="F46" s="18" t="n">
        <f aca="false">'3. Sample Data'!G50</f>
        <v>0</v>
      </c>
    </row>
    <row r="47" customFormat="false" ht="15" hidden="false" customHeight="false" outlineLevel="0" collapsed="false">
      <c r="A47" s="32" t="str">
        <f aca="false">'3. Sample Data'!B51</f>
        <v>EX-16</v>
      </c>
      <c r="B47" s="18" t="n">
        <f aca="false">'3. Sample Data'!K51</f>
        <v>0</v>
      </c>
      <c r="C47" s="18" t="n">
        <f aca="false">'3. Sample Data'!L51</f>
        <v>10</v>
      </c>
      <c r="D47" s="36" t="n">
        <f aca="false">'3. Sample Data'!P51*10</f>
        <v>145</v>
      </c>
      <c r="E47" s="37" t="n">
        <f aca="false">'3. Sample Data'!M51</f>
        <v>0.6</v>
      </c>
      <c r="F47" s="18" t="n">
        <f aca="false">'3. Sample Data'!G51</f>
        <v>0</v>
      </c>
    </row>
    <row r="48" customFormat="false" ht="15" hidden="false" customHeight="false" outlineLevel="0" collapsed="false">
      <c r="A48" s="32" t="str">
        <f aca="false">'3. Sample Data'!B52</f>
        <v>EX-16</v>
      </c>
      <c r="B48" s="18" t="n">
        <f aca="false">'3. Sample Data'!K52</f>
        <v>10</v>
      </c>
      <c r="C48" s="18" t="n">
        <f aca="false">'3. Sample Data'!L52</f>
        <v>25</v>
      </c>
      <c r="D48" s="36" t="n">
        <f aca="false">'3. Sample Data'!P52*10</f>
        <v>86</v>
      </c>
      <c r="E48" s="37" t="n">
        <f aca="false">'3. Sample Data'!M52</f>
        <v>1</v>
      </c>
      <c r="F48" s="18" t="n">
        <f aca="false">'3. Sample Data'!G52</f>
        <v>0</v>
      </c>
    </row>
    <row r="49" customFormat="false" ht="15" hidden="false" customHeight="false" outlineLevel="0" collapsed="false">
      <c r="A49" s="32" t="str">
        <f aca="false">'3. Sample Data'!B53</f>
        <v>EX-16</v>
      </c>
      <c r="B49" s="18" t="n">
        <f aca="false">'3. Sample Data'!K53</f>
        <v>25</v>
      </c>
      <c r="C49" s="18" t="n">
        <f aca="false">'3. Sample Data'!L53</f>
        <v>40</v>
      </c>
      <c r="D49" s="36" t="n">
        <f aca="false">'3. Sample Data'!P53*10</f>
        <v>6.4</v>
      </c>
      <c r="E49" s="37" t="n">
        <f aca="false">'3. Sample Data'!M53</f>
        <v>1.25</v>
      </c>
      <c r="F49" s="18" t="n">
        <f aca="false">'3. Sample Data'!G53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52"/>
  </cols>
  <sheetData>
    <row r="1" customFormat="false" ht="15" hidden="false" customHeight="false" outlineLevel="0" collapsed="false">
      <c r="A1" s="11" t="s">
        <v>201</v>
      </c>
      <c r="B1" s="11" t="s">
        <v>207</v>
      </c>
      <c r="C1" s="11" t="s">
        <v>208</v>
      </c>
      <c r="D1" s="11" t="s">
        <v>209</v>
      </c>
      <c r="E1" s="11" t="s">
        <v>210</v>
      </c>
      <c r="F1" s="11" t="s">
        <v>211</v>
      </c>
      <c r="G1" s="11" t="s">
        <v>212</v>
      </c>
    </row>
    <row r="2" customFormat="false" ht="15" hidden="false" customHeight="false" outlineLevel="0" collapsed="false">
      <c r="A2" s="32" t="str">
        <f aca="false">'4. Core Summary'!A5</f>
        <v>EX-01</v>
      </c>
      <c r="B2" s="33" t="n">
        <f aca="false">'4. Core Summary'!D5</f>
        <v>-86.58</v>
      </c>
      <c r="C2" s="33" t="n">
        <f aca="false">'4. Core Summary'!C5</f>
        <v>55.3</v>
      </c>
      <c r="D2" s="23" t="n">
        <f aca="false">'4. Core Summary'!M5</f>
        <v>6</v>
      </c>
      <c r="E2" s="38" t="s">
        <v>213</v>
      </c>
      <c r="F2" s="38" t="s">
        <v>214</v>
      </c>
      <c r="G2" s="39" t="str">
        <f aca="false">'4. Core Summary'!O5</f>
        <v>full 0–30 cm coverage</v>
      </c>
    </row>
    <row r="3" customFormat="false" ht="15" hidden="false" customHeight="false" outlineLevel="0" collapsed="false">
      <c r="A3" s="32" t="str">
        <f aca="false">'4. Core Summary'!A6</f>
        <v>EX-02</v>
      </c>
      <c r="B3" s="33" t="n">
        <f aca="false">'4. Core Summary'!D6</f>
        <v>-86.46</v>
      </c>
      <c r="C3" s="33" t="n">
        <f aca="false">'4. Core Summary'!C6</f>
        <v>55.4</v>
      </c>
      <c r="D3" s="23" t="n">
        <f aca="false">'4. Core Summary'!M6</f>
        <v>15</v>
      </c>
      <c r="E3" s="38" t="s">
        <v>213</v>
      </c>
      <c r="F3" s="38" t="s">
        <v>214</v>
      </c>
      <c r="G3" s="39" t="str">
        <f aca="false">'4. Core Summary'!O6</f>
        <v>full 0–30 cm coverage</v>
      </c>
    </row>
    <row r="4" customFormat="false" ht="15" hidden="false" customHeight="false" outlineLevel="0" collapsed="false">
      <c r="A4" s="32" t="str">
        <f aca="false">'4. Core Summary'!A7</f>
        <v>EX-03</v>
      </c>
      <c r="B4" s="33" t="n">
        <f aca="false">'4. Core Summary'!D7</f>
        <v>-86.34</v>
      </c>
      <c r="C4" s="33" t="n">
        <f aca="false">'4. Core Summary'!C7</f>
        <v>55.28</v>
      </c>
      <c r="D4" s="23" t="n">
        <f aca="false">'4. Core Summary'!M7</f>
        <v>24</v>
      </c>
      <c r="E4" s="38" t="s">
        <v>213</v>
      </c>
      <c r="F4" s="38" t="s">
        <v>214</v>
      </c>
      <c r="G4" s="39" t="str">
        <f aca="false">'4. Core Summary'!O7</f>
        <v>full 0–30 cm coverage</v>
      </c>
    </row>
    <row r="5" customFormat="false" ht="15" hidden="false" customHeight="false" outlineLevel="0" collapsed="false">
      <c r="A5" s="32" t="str">
        <f aca="false">'4. Core Summary'!A8</f>
        <v>EX-04</v>
      </c>
      <c r="B5" s="33" t="n">
        <f aca="false">'4. Core Summary'!D8</f>
        <v>-86.59</v>
      </c>
      <c r="C5" s="33" t="n">
        <f aca="false">'4. Core Summary'!C8</f>
        <v>55.42</v>
      </c>
      <c r="D5" s="23" t="n">
        <f aca="false">'4. Core Summary'!M8</f>
        <v>7</v>
      </c>
      <c r="E5" s="38" t="s">
        <v>213</v>
      </c>
      <c r="F5" s="38" t="s">
        <v>214</v>
      </c>
      <c r="G5" s="39" t="str">
        <f aca="false">'4. Core Summary'!O8</f>
        <v>full 0–30 cm coverage</v>
      </c>
    </row>
    <row r="6" customFormat="false" ht="15" hidden="false" customHeight="false" outlineLevel="0" collapsed="false">
      <c r="A6" s="32" t="str">
        <f aca="false">'4. Core Summary'!A9</f>
        <v>EX-05</v>
      </c>
      <c r="B6" s="33" t="n">
        <f aca="false">'4. Core Summary'!D9</f>
        <v>-86.53</v>
      </c>
      <c r="C6" s="33" t="n">
        <f aca="false">'4. Core Summary'!C9</f>
        <v>55.36</v>
      </c>
      <c r="D6" s="23" t="n">
        <f aca="false">'4. Core Summary'!M9</f>
        <v>28</v>
      </c>
      <c r="E6" s="38" t="s">
        <v>213</v>
      </c>
      <c r="F6" s="38" t="s">
        <v>214</v>
      </c>
      <c r="G6" s="39" t="str">
        <f aca="false">'4. Core Summary'!O9</f>
        <v>full 0–30 cm coverage</v>
      </c>
    </row>
    <row r="7" customFormat="false" ht="15" hidden="false" customHeight="false" outlineLevel="0" collapsed="false">
      <c r="A7" s="32" t="str">
        <f aca="false">'4. Core Summary'!A10</f>
        <v>EX-06</v>
      </c>
      <c r="B7" s="33" t="n">
        <f aca="false">'4. Core Summary'!D10</f>
        <v>-86.55</v>
      </c>
      <c r="C7" s="33" t="n">
        <f aca="false">'4. Core Summary'!C10</f>
        <v>55.26</v>
      </c>
      <c r="D7" s="23" t="n">
        <f aca="false">'4. Core Summary'!M10</f>
        <v>10</v>
      </c>
      <c r="E7" s="38" t="s">
        <v>213</v>
      </c>
      <c r="F7" s="38" t="s">
        <v>214</v>
      </c>
      <c r="G7" s="39" t="str">
        <f aca="false">'4. Core Summary'!O10</f>
        <v>full 0–30 cm coverage</v>
      </c>
    </row>
    <row r="8" customFormat="false" ht="15" hidden="false" customHeight="false" outlineLevel="0" collapsed="false">
      <c r="A8" s="32" t="str">
        <f aca="false">'4. Core Summary'!A11</f>
        <v>EX-07</v>
      </c>
      <c r="B8" s="33" t="n">
        <f aca="false">'4. Core Summary'!D11</f>
        <v>-86.49</v>
      </c>
      <c r="C8" s="33" t="n">
        <f aca="false">'4. Core Summary'!C11</f>
        <v>55.31</v>
      </c>
      <c r="D8" s="23" t="n">
        <f aca="false">'4. Core Summary'!M11</f>
        <v>23</v>
      </c>
      <c r="E8" s="38" t="s">
        <v>213</v>
      </c>
      <c r="F8" s="38" t="s">
        <v>214</v>
      </c>
      <c r="G8" s="39" t="str">
        <f aca="false">'4. Core Summary'!O11</f>
        <v>full 0–30 cm coverage</v>
      </c>
    </row>
    <row r="9" customFormat="false" ht="15" hidden="false" customHeight="false" outlineLevel="0" collapsed="false">
      <c r="A9" s="32" t="str">
        <f aca="false">'4. Core Summary'!A12</f>
        <v>EX-08</v>
      </c>
      <c r="B9" s="33" t="n">
        <f aca="false">'4. Core Summary'!D12</f>
        <v>-86.44</v>
      </c>
      <c r="C9" s="33" t="n">
        <f aca="false">'4. Core Summary'!C12</f>
        <v>55.25</v>
      </c>
      <c r="D9" s="23" t="n">
        <f aca="false">'4. Core Summary'!M12</f>
        <v>8</v>
      </c>
      <c r="E9" s="38" t="s">
        <v>213</v>
      </c>
      <c r="F9" s="38" t="s">
        <v>214</v>
      </c>
      <c r="G9" s="39" t="str">
        <f aca="false">'4. Core Summary'!O12</f>
        <v>full 0–30 cm coverage</v>
      </c>
    </row>
    <row r="10" customFormat="false" ht="15" hidden="false" customHeight="false" outlineLevel="0" collapsed="false">
      <c r="A10" s="32" t="str">
        <f aca="false">'4. Core Summary'!A13</f>
        <v>EX-09</v>
      </c>
      <c r="B10" s="33" t="n">
        <f aca="false">'4. Core Summary'!D13</f>
        <v>-86.47</v>
      </c>
      <c r="C10" s="33" t="n">
        <f aca="false">'4. Core Summary'!C13</f>
        <v>55.44</v>
      </c>
      <c r="D10" s="23" t="n">
        <f aca="false">'4. Core Summary'!M13</f>
        <v>26</v>
      </c>
      <c r="E10" s="38" t="s">
        <v>213</v>
      </c>
      <c r="F10" s="38" t="s">
        <v>214</v>
      </c>
      <c r="G10" s="39" t="str">
        <f aca="false">'4. Core Summary'!O13</f>
        <v>full 0–30 cm coverage</v>
      </c>
    </row>
    <row r="11" customFormat="false" ht="15" hidden="false" customHeight="false" outlineLevel="0" collapsed="false">
      <c r="A11" s="32" t="str">
        <f aca="false">'4. Core Summary'!A14</f>
        <v>EX-10</v>
      </c>
      <c r="B11" s="33" t="n">
        <f aca="false">'4. Core Summary'!D14</f>
        <v>-86.41</v>
      </c>
      <c r="C11" s="33" t="n">
        <f aca="false">'4. Core Summary'!C14</f>
        <v>55.34</v>
      </c>
      <c r="D11" s="23" t="n">
        <f aca="false">'4. Core Summary'!M14</f>
        <v>12</v>
      </c>
      <c r="E11" s="38" t="s">
        <v>213</v>
      </c>
      <c r="F11" s="38" t="s">
        <v>214</v>
      </c>
      <c r="G11" s="39" t="str">
        <f aca="false">'4. Core Summary'!O14</f>
        <v>full 0–30 cm coverage</v>
      </c>
    </row>
    <row r="12" customFormat="false" ht="15" hidden="false" customHeight="false" outlineLevel="0" collapsed="false">
      <c r="A12" s="32" t="str">
        <f aca="false">'4. Core Summary'!A15</f>
        <v>EX-11</v>
      </c>
      <c r="B12" s="33" t="n">
        <f aca="false">'4. Core Summary'!D15</f>
        <v>-86.39</v>
      </c>
      <c r="C12" s="33" t="n">
        <f aca="false">'4. Core Summary'!C15</f>
        <v>55.43</v>
      </c>
      <c r="D12" s="23" t="n">
        <f aca="false">'4. Core Summary'!M15</f>
        <v>19</v>
      </c>
      <c r="E12" s="38" t="s">
        <v>213</v>
      </c>
      <c r="F12" s="38" t="s">
        <v>214</v>
      </c>
      <c r="G12" s="39" t="str">
        <f aca="false">'4. Core Summary'!O15</f>
        <v>full 0–30 cm coverage</v>
      </c>
    </row>
    <row r="13" customFormat="false" ht="15" hidden="false" customHeight="false" outlineLevel="0" collapsed="false">
      <c r="A13" s="32" t="str">
        <f aca="false">'4. Core Summary'!A16</f>
        <v>EX-12</v>
      </c>
      <c r="B13" s="33" t="n">
        <f aca="false">'4. Core Summary'!D16</f>
        <v>-86.36</v>
      </c>
      <c r="C13" s="33" t="n">
        <f aca="false">'4. Core Summary'!C16</f>
        <v>55.38</v>
      </c>
      <c r="D13" s="23" t="n">
        <f aca="false">'4. Core Summary'!M16</f>
        <v>9</v>
      </c>
      <c r="E13" s="38" t="s">
        <v>213</v>
      </c>
      <c r="F13" s="38" t="s">
        <v>214</v>
      </c>
      <c r="G13" s="39" t="str">
        <f aca="false">'4. Core Summary'!O16</f>
        <v>full 0–30 cm coverage</v>
      </c>
    </row>
    <row r="14" customFormat="false" ht="15" hidden="false" customHeight="false" outlineLevel="0" collapsed="false">
      <c r="A14" s="32" t="str">
        <f aca="false">'4. Core Summary'!A17</f>
        <v>EX-13</v>
      </c>
      <c r="B14" s="33" t="n">
        <f aca="false">'4. Core Summary'!D17</f>
        <v>-86.33</v>
      </c>
      <c r="C14" s="33" t="n">
        <f aca="false">'4. Core Summary'!C17</f>
        <v>55.33</v>
      </c>
      <c r="D14" s="23" t="n">
        <f aca="false">'4. Core Summary'!M17</f>
        <v>27</v>
      </c>
      <c r="E14" s="38" t="s">
        <v>213</v>
      </c>
      <c r="F14" s="38" t="s">
        <v>214</v>
      </c>
      <c r="G14" s="39" t="str">
        <f aca="false">'4. Core Summary'!O17</f>
        <v>full 0–30 cm coverage</v>
      </c>
    </row>
    <row r="15" customFormat="false" ht="15" hidden="false" customHeight="false" outlineLevel="0" collapsed="false">
      <c r="A15" s="32" t="str">
        <f aca="false">'4. Core Summary'!A18</f>
        <v>EX-14</v>
      </c>
      <c r="B15" s="33" t="n">
        <f aca="false">'4. Core Summary'!D18</f>
        <v>-86.37</v>
      </c>
      <c r="C15" s="33" t="n">
        <f aca="false">'4. Core Summary'!C18</f>
        <v>55.26</v>
      </c>
      <c r="D15" s="23" t="n">
        <f aca="false">'4. Core Summary'!M18</f>
        <v>11</v>
      </c>
      <c r="E15" s="38" t="s">
        <v>213</v>
      </c>
      <c r="F15" s="38" t="s">
        <v>214</v>
      </c>
      <c r="G15" s="39" t="str">
        <f aca="false">'4. Core Summary'!O18</f>
        <v>full 0–30 cm coverage</v>
      </c>
    </row>
    <row r="16" customFormat="false" ht="15" hidden="false" customHeight="false" outlineLevel="0" collapsed="false">
      <c r="A16" s="32" t="str">
        <f aca="false">'4. Core Summary'!A19</f>
        <v>EX-15</v>
      </c>
      <c r="B16" s="33" t="n">
        <f aca="false">'4. Core Summary'!D19</f>
        <v>-86.32</v>
      </c>
      <c r="C16" s="33" t="n">
        <f aca="false">'4. Core Summary'!C19</f>
        <v>55.42</v>
      </c>
      <c r="D16" s="23" t="n">
        <f aca="false">'4. Core Summary'!M19</f>
        <v>25</v>
      </c>
      <c r="E16" s="38" t="s">
        <v>213</v>
      </c>
      <c r="F16" s="38" t="s">
        <v>214</v>
      </c>
      <c r="G16" s="39" t="str">
        <f aca="false">'4. Core Summary'!O19</f>
        <v>full 0–30 cm coverage</v>
      </c>
    </row>
    <row r="17" customFormat="false" ht="15" hidden="false" customHeight="false" outlineLevel="0" collapsed="false">
      <c r="A17" s="32" t="str">
        <f aca="false">'4. Core Summary'!A20</f>
        <v>EX-16</v>
      </c>
      <c r="B17" s="33" t="n">
        <f aca="false">'4. Core Summary'!D20</f>
        <v>-86.51</v>
      </c>
      <c r="C17" s="33" t="n">
        <f aca="false">'4. Core Summary'!C20</f>
        <v>55.45</v>
      </c>
      <c r="D17" s="23" t="n">
        <f aca="false">'4. Core Summary'!M20</f>
        <v>22</v>
      </c>
      <c r="E17" s="38" t="s">
        <v>213</v>
      </c>
      <c r="F17" s="38" t="s">
        <v>214</v>
      </c>
      <c r="G17" s="39" t="str">
        <f aca="false">'4. Core Summary'!O20</f>
        <v>full 0–30 cm coverage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2026-08-19T13:10:09Z</dcterms:created>
  <dc:creator>openpyxl</dc:creator>
  <dc:description/>
  <dc:language>en-US</dc:language>
  <cp:lastModifiedBy/>
  <dcterms:modified xsi:type="dcterms:W3CDTF">2026-08-19T13:10:09Z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